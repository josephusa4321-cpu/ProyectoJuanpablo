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README" sheetId="2" state="visible" r:id="rId2"/>
    <sheet name="Dueños" sheetId="3" state="visible" r:id="rId3"/>
    <sheet name="Vehículos" sheetId="4" state="visible" r:id="rId4"/>
    <sheet name="Conductores" sheetId="5" state="visible" r:id="rId5"/>
    <sheet name="Categorías" sheetId="6" state="visible" r:id="rId6"/>
    <sheet name="Movimientos" sheetId="7" state="visible" r:id="rId7"/>
    <sheet name="KPIs" sheetId="8" state="visible" r:id="rId8"/>
    <sheet name="Resumen Flota" sheetId="9" state="visible" r:id="rId9"/>
  </sheets>
  <definedNames>
    <definedName name="rng_Categorias" hidden="0" function="0" vbProcedure="0">Categorías!$A$2:$A$9</definedName>
    <definedName name="rng_Conductores" hidden="0" function="0" vbProcedure="0">Conductores!$A$2:$A$21</definedName>
    <definedName name="rng_Duenos" hidden="0" function="0" vbProcedure="0">Dueños!$A$2:$A$21</definedName>
    <definedName name="rng_Placas" hidden="0" function="0" vbProcedure="0">Vehículos!$A$2:$A$21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\-mmm\-yyyy"/>
    <numFmt numFmtId="165" formatCode="0.0%"/>
    <numFmt numFmtId="166" formatCode="\$#,##0;[RED]&quot;($&quot;#,##0\);\-"/>
    <numFmt numFmtId="167" formatCode="#,##0&quot; km&quot;"/>
    <numFmt numFmtId="168" formatCode="0.0%;[RED]\-0.0%;\-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24"/>
    </font>
    <font>
      <name val="Calibri"/>
      <charset val="1"/>
      <family val="0"/>
      <i val="1"/>
      <color rgb="FF64748B"/>
      <sz val="12"/>
    </font>
    <font>
      <name val="Calibri"/>
      <charset val="1"/>
      <family val="0"/>
      <b val="1"/>
      <color rgb="FF059669"/>
      <sz val="13"/>
    </font>
    <font>
      <name val="Calibri"/>
      <charset val="1"/>
      <family val="0"/>
      <b val="1"/>
      <color rgb="FF1F2937"/>
      <sz val="11"/>
    </font>
    <font>
      <name val="Calibri"/>
      <charset val="1"/>
      <family val="0"/>
      <color rgb="FF374151"/>
      <sz val="10"/>
    </font>
    <font>
      <name val="Calibri"/>
      <charset val="1"/>
      <family val="0"/>
      <b val="1"/>
      <color rgb="FF2563EB"/>
      <sz val="13"/>
    </font>
    <font>
      <name val="Calibri"/>
      <charset val="1"/>
      <family val="0"/>
      <b val="1"/>
      <color rgb="FFDC2626"/>
      <sz val="13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i val="1"/>
      <color rgb="FF9CA3AF"/>
      <sz val="10"/>
    </font>
    <font>
      <name val="Calibri"/>
      <charset val="1"/>
      <family val="0"/>
      <b val="1"/>
      <color rgb="FF1F2937"/>
      <sz val="18"/>
    </font>
    <font>
      <name val="Calibri"/>
      <charset val="1"/>
      <family val="0"/>
      <i val="1"/>
      <color rgb="FF64748B"/>
      <sz val="10"/>
    </font>
    <font>
      <name val="Calibri"/>
      <charset val="1"/>
      <family val="0"/>
      <b val="1"/>
      <color rgb="FF1F2937"/>
      <sz val="14"/>
    </font>
    <font>
      <name val="Calibri"/>
      <charset val="1"/>
      <family val="0"/>
      <b val="1"/>
      <color rgb="FF64748B"/>
      <sz val="10"/>
    </font>
    <font>
      <name val="Calibri"/>
      <charset val="1"/>
      <family val="0"/>
      <b val="1"/>
      <color rgb="FF2563EB"/>
      <sz val="11"/>
    </font>
    <font>
      <name val="Calibri"/>
      <charset val="1"/>
      <family val="0"/>
      <b val="1"/>
      <color rgb="FF059669"/>
      <sz val="12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2937"/>
      <sz val="12"/>
    </font>
    <font>
      <name val="Calibri"/>
      <charset val="1"/>
      <family val="0"/>
      <b val="1"/>
      <color rgb="FF2563EB"/>
      <sz val="12"/>
    </font>
    <font>
      <name val="Calibri"/>
      <charset val="1"/>
      <family val="0"/>
      <b val="1"/>
      <color rgb="FFDC2626"/>
      <sz val="12"/>
    </font>
    <font>
      <name val="Calibri"/>
      <charset val="1"/>
      <family val="0"/>
      <b val="1"/>
      <sz val="10"/>
    </font>
    <font>
      <b val="1"/>
      <color rgb="00FFFFFF"/>
      <sz val="18"/>
    </font>
    <font>
      <b val="1"/>
      <sz val="12"/>
    </font>
    <font>
      <b val="1"/>
      <color rgb="0038BDF8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FF0F172A"/>
        <bgColor rgb="FF1F2937"/>
      </patternFill>
    </fill>
    <fill>
      <patternFill patternType="solid">
        <fgColor rgb="FF1F2937"/>
        <bgColor rgb="FF0F172A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F3F4F6"/>
        <bgColor rgb="FFFFFFFF"/>
      </patternFill>
    </fill>
    <fill>
      <patternFill patternType="solid">
        <fgColor rgb="FF059669"/>
        <bgColor rgb="FF008080"/>
      </patternFill>
    </fill>
    <fill>
      <patternFill patternType="solid">
        <fgColor rgb="FF2563EB"/>
        <bgColor rgb="FF0066CC"/>
      </patternFill>
    </fill>
    <fill>
      <patternFill patternType="solid">
        <fgColor rgb="FFDC2626"/>
        <bgColor rgb="FF993300"/>
      </patternFill>
    </fill>
    <fill>
      <patternFill patternType="solid">
        <fgColor rgb="000F172A"/>
        <bgColor rgb="000F172A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 wrapText="1"/>
    </xf>
    <xf numFmtId="167" fontId="12" fillId="6" borderId="1" applyAlignment="1" pivotButton="0" quotePrefix="0" xfId="0">
      <alignment horizontal="general" vertical="top"/>
    </xf>
    <xf numFmtId="166" fontId="12" fillId="0" borderId="1" applyAlignment="1" pivotButton="0" quotePrefix="0" xfId="0">
      <alignment horizontal="general" vertical="top"/>
    </xf>
    <xf numFmtId="0" fontId="12" fillId="7" borderId="1" applyAlignment="1" pivotButton="0" quotePrefix="0" xfId="0">
      <alignment horizontal="general" vertical="top"/>
    </xf>
    <xf numFmtId="167" fontId="12" fillId="6" borderId="1" applyAlignment="1" pivotButton="0" quotePrefix="0" xfId="0">
      <alignment horizontal="general" vertical="bottom"/>
    </xf>
    <xf numFmtId="0" fontId="12" fillId="7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8" borderId="1" applyAlignment="1" pivotButton="0" quotePrefix="0" xfId="0">
      <alignment horizontal="left" vertical="center" indent="1"/>
    </xf>
    <xf numFmtId="166" fontId="21" fillId="7" borderId="1" applyAlignment="1" pivotButton="0" quotePrefix="0" xfId="0">
      <alignment horizontal="right" vertical="center" indent="1"/>
    </xf>
    <xf numFmtId="0" fontId="20" fillId="9" borderId="1" applyAlignment="1" pivotButton="0" quotePrefix="0" xfId="0">
      <alignment horizontal="left" vertical="center" indent="1"/>
    </xf>
    <xf numFmtId="0" fontId="20" fillId="10" borderId="1" applyAlignment="1" pivotButton="0" quotePrefix="0" xfId="0">
      <alignment horizontal="left" vertical="center" indent="1"/>
    </xf>
    <xf numFmtId="0" fontId="20" fillId="3" borderId="1" applyAlignment="1" pivotButton="0" quotePrefix="0" xfId="0">
      <alignment horizontal="left" vertical="center" indent="1"/>
    </xf>
    <xf numFmtId="168" fontId="21" fillId="7" borderId="1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general" vertical="bottom"/>
    </xf>
    <xf numFmtId="3" fontId="21" fillId="7" borderId="1" applyAlignment="1" pivotButton="0" quotePrefix="0" xfId="0">
      <alignment horizontal="right" vertical="center" indent="1"/>
    </xf>
    <xf numFmtId="164" fontId="21" fillId="7" borderId="1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0" fontId="24" fillId="7" borderId="1" applyAlignment="1" pivotButton="0" quotePrefix="0" xfId="0">
      <alignment horizontal="general" vertical="bottom"/>
    </xf>
    <xf numFmtId="166" fontId="24" fillId="7" borderId="1" applyAlignment="1" pivotButton="0" quotePrefix="0" xfId="0">
      <alignment horizontal="general" vertical="bottom"/>
    </xf>
    <xf numFmtId="168" fontId="24" fillId="7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 indent="1"/>
    </xf>
    <xf numFmtId="168" fontId="12" fillId="0" borderId="1" applyAlignment="1" pivotButton="0" quotePrefix="0" xfId="0">
      <alignment horizontal="right" vertical="center" indent="1"/>
    </xf>
    <xf numFmtId="3" fontId="12" fillId="0" borderId="1" applyAlignment="1" pivotButton="0" quotePrefix="0" xfId="0">
      <alignment horizontal="right" vertical="center" indent="1"/>
    </xf>
    <xf numFmtId="0" fontId="11" fillId="3" borderId="0" applyAlignment="1" pivotButton="0" quotePrefix="0" xfId="0">
      <alignment horizontal="center" vertical="center"/>
    </xf>
    <xf numFmtId="166" fontId="11" fillId="3" borderId="1" applyAlignment="1" pivotButton="0" quotePrefix="0" xfId="0">
      <alignment horizontal="right" vertical="center" indent="1"/>
    </xf>
    <xf numFmtId="168" fontId="11" fillId="3" borderId="1" applyAlignment="1" pivotButton="0" quotePrefix="0" xfId="0">
      <alignment horizontal="right" vertical="center" indent="1"/>
    </xf>
    <xf numFmtId="3" fontId="11" fillId="3" borderId="1" applyAlignment="1" pivotButton="0" quotePrefix="0" xfId="0">
      <alignment horizontal="right" vertical="center" indent="1"/>
    </xf>
    <xf numFmtId="0" fontId="0" fillId="3" borderId="1" applyAlignment="1" pivotButton="0" quotePrefix="0" xfId="0">
      <alignment horizontal="general" vertical="bottom"/>
    </xf>
    <xf numFmtId="0" fontId="0" fillId="0" borderId="0" pivotButton="0" quotePrefix="0" xfId="0"/>
    <xf numFmtId="0" fontId="25" fillId="11" borderId="0" applyAlignment="1" pivotButton="0" quotePrefix="0" xfId="0">
      <alignment horizontal="center" vertic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 wrapText="1"/>
    </xf>
    <xf numFmtId="167" fontId="12" fillId="6" borderId="1" applyAlignment="1" pivotButton="0" quotePrefix="0" xfId="0">
      <alignment horizontal="general" vertical="top"/>
    </xf>
    <xf numFmtId="166" fontId="12" fillId="0" borderId="1" applyAlignment="1" pivotButton="0" quotePrefix="0" xfId="0">
      <alignment horizontal="general" vertical="top"/>
    </xf>
    <xf numFmtId="0" fontId="12" fillId="7" borderId="1" applyAlignment="1" pivotButton="0" quotePrefix="0" xfId="0">
      <alignment horizontal="general" vertical="top"/>
    </xf>
    <xf numFmtId="167" fontId="12" fillId="6" borderId="1" applyAlignment="1" pivotButton="0" quotePrefix="0" xfId="0">
      <alignment horizontal="general" vertical="bottom"/>
    </xf>
    <xf numFmtId="0" fontId="12" fillId="7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8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166" fontId="21" fillId="7" borderId="1" applyAlignment="1" pivotButton="0" quotePrefix="0" xfId="0">
      <alignment horizontal="right" vertical="center" indent="1"/>
    </xf>
    <xf numFmtId="0" fontId="20" fillId="9" borderId="1" applyAlignment="1" pivotButton="0" quotePrefix="0" xfId="0">
      <alignment horizontal="left" vertical="center" indent="1"/>
    </xf>
    <xf numFmtId="0" fontId="20" fillId="10" borderId="1" applyAlignment="1" pivotButton="0" quotePrefix="0" xfId="0">
      <alignment horizontal="left" vertical="center" indent="1"/>
    </xf>
    <xf numFmtId="0" fontId="20" fillId="3" borderId="1" applyAlignment="1" pivotButton="0" quotePrefix="0" xfId="0">
      <alignment horizontal="left" vertical="center" indent="1"/>
    </xf>
    <xf numFmtId="168" fontId="21" fillId="7" borderId="1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general" vertical="bottom"/>
    </xf>
    <xf numFmtId="3" fontId="21" fillId="7" borderId="1" applyAlignment="1" pivotButton="0" quotePrefix="0" xfId="0">
      <alignment horizontal="right" vertical="center" indent="1"/>
    </xf>
    <xf numFmtId="164" fontId="21" fillId="7" borderId="1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general" vertical="bottom"/>
    </xf>
    <xf numFmtId="168" fontId="12" fillId="0" borderId="1" applyAlignment="1" pivotButton="0" quotePrefix="0" xfId="0">
      <alignment horizontal="general" vertical="bottom"/>
    </xf>
    <xf numFmtId="0" fontId="24" fillId="7" borderId="1" applyAlignment="1" pivotButton="0" quotePrefix="0" xfId="0">
      <alignment horizontal="general" vertical="bottom"/>
    </xf>
    <xf numFmtId="166" fontId="24" fillId="7" borderId="1" applyAlignment="1" pivotButton="0" quotePrefix="0" xfId="0">
      <alignment horizontal="general" vertical="bottom"/>
    </xf>
    <xf numFmtId="168" fontId="24" fillId="7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 indent="1"/>
    </xf>
    <xf numFmtId="168" fontId="12" fillId="0" borderId="1" applyAlignment="1" pivotButton="0" quotePrefix="0" xfId="0">
      <alignment horizontal="right" vertical="center" indent="1"/>
    </xf>
    <xf numFmtId="3" fontId="12" fillId="0" borderId="1" applyAlignment="1" pivotButton="0" quotePrefix="0" xfId="0">
      <alignment horizontal="right" vertical="center" indent="1"/>
    </xf>
    <xf numFmtId="0" fontId="11" fillId="3" borderId="0" applyAlignment="1" pivotButton="0" quotePrefix="0" xfId="0">
      <alignment horizontal="center" vertical="center"/>
    </xf>
    <xf numFmtId="166" fontId="11" fillId="3" borderId="1" applyAlignment="1" pivotButton="0" quotePrefix="0" xfId="0">
      <alignment horizontal="right" vertical="center" indent="1"/>
    </xf>
    <xf numFmtId="168" fontId="11" fillId="3" borderId="1" applyAlignment="1" pivotButton="0" quotePrefix="0" xfId="0">
      <alignment horizontal="right" vertical="center" indent="1"/>
    </xf>
    <xf numFmtId="3" fontId="11" fillId="3" borderId="1" applyAlignment="1" pivotButton="0" quotePrefix="0" xfId="0">
      <alignment horizontal="right" vertical="center" indent="1"/>
    </xf>
    <xf numFmtId="0" fontId="0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D1FAE5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EE2E2"/>
      <rgbColor rgb="FF99CCFF"/>
      <rgbColor rgb="FFFF99CC"/>
      <rgbColor rgb="FFCC99FF"/>
      <rgbColor rgb="FFFECACA"/>
      <rgbColor rgb="FF2563EB"/>
      <rgbColor rgb="FF33CCCC"/>
      <rgbColor rgb="FF99CC00"/>
      <rgbColor rgb="FFFFCC00"/>
      <rgbColor rgb="FFFF9900"/>
      <rgbColor rgb="FFFF6600"/>
      <rgbColor rgb="FF64748B"/>
      <rgbColor rgb="FF9CA3AF"/>
      <rgbColor rgb="FF003366"/>
      <rgbColor rgb="FF339966"/>
      <rgbColor rgb="FF0F172A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Duenos" displayName="tblDuenos" ref="A1:H21" headerRowCount="1" totalsRowCount="0" totalsRowShown="0">
  <autoFilter ref="A1:H21"/>
  <tableColumns count="8">
    <tableColumn id="1" name="Nombre completo"/>
    <tableColumn id="2" name="Documento"/>
    <tableColumn id="3" name="Teléfono"/>
    <tableColumn id="4" name="WhatsApp"/>
    <tableColumn id="5" name="Email"/>
    <tableColumn id="6" name="Fecha inicio"/>
    <tableColumn id="7" name="% Comisión"/>
    <tableColumn id="8" name="Notas"/>
  </tableColumns>
</table>
</file>

<file path=xl/tables/table2.xml><?xml version="1.0" encoding="utf-8"?>
<table xmlns="http://schemas.openxmlformats.org/spreadsheetml/2006/main" id="2" name="tblVehiculos" displayName="tblVehiculos" ref="A1:J21" headerRowCount="1" totalsRowCount="0" totalsRowShown="0">
  <autoFilter ref="A1:J21"/>
  <tableColumns count="10">
    <tableColumn id="1" name="Placa"/>
    <tableColumn id="2" name="Marca"/>
    <tableColumn id="3" name="Modelo"/>
    <tableColumn id="4" name="Año"/>
    <tableColumn id="5" name="Dueño"/>
    <tableColumn id="6" name="Fecha compra"/>
    <tableColumn id="7" name="Costo adquisición"/>
    <tableColumn id="8" name="Km al comprar"/>
    <tableColumn id="9" name="Estado"/>
    <tableColumn id="10" name="Notas"/>
  </tableColumns>
</table>
</file>

<file path=xl/tables/table3.xml><?xml version="1.0" encoding="utf-8"?>
<table xmlns="http://schemas.openxmlformats.org/spreadsheetml/2006/main" id="3" name="tblConductores" displayName="tblConductores" ref="A1:E21" headerRowCount="1" totalsRowCount="0" totalsRowShown="0">
  <autoFilter ref="A1:E21"/>
  <tableColumns count="5">
    <tableColumn id="1" name="Nombre"/>
    <tableColumn id="2" name="Tipo"/>
    <tableColumn id="3" name="Documento"/>
    <tableColumn id="4" name="Teléfono"/>
    <tableColumn id="5" name="Notas"/>
  </tableColumns>
</table>
</file>

<file path=xl/tables/table4.xml><?xml version="1.0" encoding="utf-8"?>
<table xmlns="http://schemas.openxmlformats.org/spreadsheetml/2006/main" id="4" name="tblCategorias" displayName="tblCategorias" ref="A1:D9" headerRowCount="1" totalsRowCount="0" totalsRowShown="0">
  <autoFilter ref="A1:D9"/>
  <tableColumns count="4">
    <tableColumn id="1" name="Categoría"/>
    <tableColumn id="2" name="Tipo esperado"/>
    <tableColumn id="3" name="Descripción"/>
    <tableColumn id="4" name="Ejemplo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38BDF8"/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15" customWidth="1" style="59" min="2" max="2"/>
    <col width="60" customWidth="1" style="59" min="3" max="3"/>
  </cols>
  <sheetData>
    <row r="2">
      <c r="B2" s="60" t="inlineStr">
        <is>
          <t>GUÍA RÁPIDA: GENERACIÓN DE REPORTES</t>
        </is>
      </c>
    </row>
    <row r="3"/>
    <row r="5">
      <c r="B5" s="61" t="inlineStr">
        <is>
          <t>PASO 1</t>
        </is>
      </c>
      <c r="C5" s="62" t="inlineStr">
        <is>
          <t>Actualizar Movimientos</t>
        </is>
      </c>
    </row>
    <row r="6">
      <c r="C6" s="63" t="inlineStr">
        <is>
          <t>Llene sus ingresos y gastos en la hoja 'Movimientos'. Use los desplegables.</t>
        </is>
      </c>
    </row>
    <row r="8">
      <c r="B8" s="61" t="inlineStr">
        <is>
          <t>PASO 2</t>
        </is>
      </c>
      <c r="C8" s="62" t="inlineStr">
        <is>
          <t>Guardar y Cerrar</t>
        </is>
      </c>
    </row>
    <row r="9">
      <c r="C9" s="63" t="inlineStr">
        <is>
          <t>Guarde los cambios (Ctrl + G) y cierre el archivo Excel.</t>
        </is>
      </c>
    </row>
    <row r="11">
      <c r="B11" s="61" t="inlineStr">
        <is>
          <t>PASO 3</t>
        </is>
      </c>
      <c r="C11" s="62" t="inlineStr">
        <is>
          <t>Doble Clic</t>
        </is>
      </c>
    </row>
    <row r="12">
      <c r="C12" s="63" t="inlineStr">
        <is>
          <t>Haga doble clic en el archivo 'GENERAR_REPORTES.bat' en su carpeta.</t>
        </is>
      </c>
    </row>
    <row r="14">
      <c r="B14" s="61" t="inlineStr">
        <is>
          <t>PASO 4</t>
        </is>
      </c>
      <c r="C14" s="62" t="inlineStr">
        <is>
          <t>¡Listo!</t>
        </is>
      </c>
    </row>
    <row r="15">
      <c r="C15" s="63" t="inlineStr">
        <is>
          <t>Sus reportes estarán en la carpeta 'reportes_generados' listos para enviar.</t>
        </is>
      </c>
    </row>
  </sheetData>
  <mergeCells count="1">
    <mergeCell ref="B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64" min="1" max="1"/>
    <col width="18" customWidth="1" style="64" min="2" max="2"/>
    <col width="16" customWidth="1" style="64" min="3" max="3"/>
    <col width="14" customWidth="1" style="64" min="4" max="8"/>
  </cols>
  <sheetData>
    <row r="2" ht="24" customHeight="1" s="59">
      <c r="B2" s="65" t="inlineStr">
        <is>
          <t>ESTADO DE CUENTA DE FLOTA</t>
        </is>
      </c>
    </row>
    <row r="3" ht="18" customHeight="1" s="59"/>
    <row r="4" ht="15" customHeight="1" s="59">
      <c r="B4" s="66" t="inlineStr">
        <is>
          <t>Sistema centralizado para administración de flota de terceros</t>
        </is>
      </c>
    </row>
    <row r="6" ht="16.15" customHeight="1" s="59">
      <c r="B6" s="67" t="inlineStr">
        <is>
          <t>ESTRUCTURA DEL ARCHIVO</t>
        </is>
      </c>
    </row>
    <row r="7" ht="39.75" customHeight="1" s="59">
      <c r="B7" s="68" t="inlineStr">
        <is>
          <t>Dueños</t>
        </is>
      </c>
      <c r="C7" s="69" t="inlineStr">
        <is>
          <t>Maestra de clientes. Cada dueño puede tener 1 o varios vehículos. Contiene nombre, documento, teléfono, WhatsApp y email (clave para envío automático).</t>
        </is>
      </c>
    </row>
    <row r="8" ht="39.75" customHeight="1" s="59">
      <c r="B8" s="68" t="inlineStr">
        <is>
          <t>Vehículos</t>
        </is>
      </c>
      <c r="C8" s="69" t="inlineStr">
        <is>
          <t>Maestra de carros. Cada uno vinculado a su dueño vía dropdown. Placa, marca, modelo, año, fecha compra, costo y km inicial.</t>
        </is>
      </c>
    </row>
    <row r="9" ht="39.75" customHeight="1" s="59">
      <c r="B9" s="68" t="inlineStr">
        <is>
          <t>Conductores</t>
        </is>
      </c>
      <c r="C9" s="69" t="inlineStr">
        <is>
          <t>Maestra de conductores. Nombre normalizado y tipo (fijo, ocasional, administrativo).</t>
        </is>
      </c>
    </row>
    <row r="10" ht="39.75" customHeight="1" s="59">
      <c r="B10" s="68" t="inlineStr">
        <is>
          <t>Categorías</t>
        </is>
      </c>
      <c r="C10" s="69" t="inlineStr">
        <is>
          <t>Tipos de ingreso y gasto cerrados. Evita duplicados por errores de digitación.</t>
        </is>
      </c>
    </row>
    <row r="11" ht="39.75" customHeight="1" s="59">
      <c r="B11" s="68" t="inlineStr">
        <is>
          <t>Movimientos</t>
        </is>
      </c>
      <c r="C11" s="69" t="inlineStr">
        <is>
          <t>TABLA PRINCIPAL. Todos los movimientos de todos los vehículos en una sola tabla. La columna "Placa" discrimina.</t>
        </is>
      </c>
    </row>
    <row r="12" ht="39.75" customHeight="1" s="59">
      <c r="B12" s="68" t="inlineStr">
        <is>
          <t>KPIs</t>
        </is>
      </c>
      <c r="C12" s="69" t="inlineStr">
        <is>
          <t>Indicadores por vehículo. Selecciona placa arriba y todo se recalcula. Incluye descomposición de ingresos brutos, comisión admin y neto al dueño.</t>
        </is>
      </c>
    </row>
    <row r="13" ht="39.75" customHeight="1" s="59">
      <c r="B13" s="68" t="inlineStr">
        <is>
          <t>Resumen Flota</t>
        </is>
      </c>
      <c r="C13" s="69" t="inlineStr">
        <is>
          <t>Vista consolidada para Juan Pablo: toda la flota listada con resultado por carro y totales generales.</t>
        </is>
      </c>
    </row>
    <row r="15" ht="16.15" customHeight="1" s="59">
      <c r="B15" s="70" t="inlineStr">
        <is>
          <t>MODELO RELACIONAL</t>
        </is>
      </c>
    </row>
    <row r="16" ht="15" customHeight="1" s="59">
      <c r="B16" s="71" t="inlineStr">
        <is>
          <t>1 Dueño → puede tener varios Vehículos bajo administración</t>
        </is>
      </c>
    </row>
    <row r="17" ht="15" customHeight="1" s="59">
      <c r="B17" s="71" t="inlineStr">
        <is>
          <t>1 Vehículo → 1 Dueño a la vez, pero varios Conductores en el tiempo</t>
        </is>
      </c>
    </row>
    <row r="18" ht="15" customHeight="1" s="59">
      <c r="B18" s="71" t="inlineStr">
        <is>
          <t>1 Conductor → puede operar varios Vehículos</t>
        </is>
      </c>
    </row>
    <row r="19" ht="15" customHeight="1" s="59">
      <c r="B19" s="71" t="inlineStr">
        <is>
          <t>Todo Movimiento queda vinculado a una Placa (→ Vehículo → Dueño) y a un Conductor</t>
        </is>
      </c>
    </row>
    <row r="21" ht="16.15" customHeight="1" s="59">
      <c r="B21" s="67" t="inlineStr">
        <is>
          <t>FLUJO SEMANAL</t>
        </is>
      </c>
    </row>
    <row r="22" ht="15" customHeight="1" s="59">
      <c r="B22" s="71" t="inlineStr">
        <is>
          <t>1. Registrar movimientos (liquidaciones, gastos) en la hoja "Movimientos" usando dropdowns.</t>
        </is>
      </c>
    </row>
    <row r="23" ht="15" customHeight="1" s="59">
      <c r="B23" s="71" t="inlineStr">
        <is>
          <t>2. Si entra un dueño/vehículo/conductor nuevo → primero agregarlo en la hoja maestra correspondiente.</t>
        </is>
      </c>
    </row>
    <row r="24" ht="15" customHeight="1" s="59">
      <c r="B24" s="71" t="inlineStr">
        <is>
          <t>3. Al final de la semana, correr el generador de informes HTML (script externo).</t>
        </is>
      </c>
    </row>
    <row r="25" ht="15" customHeight="1" s="59">
      <c r="B25" s="71" t="inlineStr">
        <is>
          <t>4. Se genera 1 HTML por dueño + 1 HTML consolidado para Juan Pablo.</t>
        </is>
      </c>
    </row>
    <row r="26" ht="15" customHeight="1" s="59">
      <c r="B26" s="71" t="inlineStr">
        <is>
          <t>5. Enviar cada HTML al dueño correspondiente por WhatsApp. Cada uno ve SOLO su información.</t>
        </is>
      </c>
    </row>
    <row r="28" ht="16.15" customHeight="1" s="59">
      <c r="B28" s="72" t="inlineStr">
        <is>
          <t>REGLAS DE ORO</t>
        </is>
      </c>
    </row>
    <row r="29" ht="15" customHeight="1" s="59">
      <c r="B29" s="71" t="inlineStr">
        <is>
          <t>✗ NO crear hojas nuevas por vehículo. Todo va a "Movimientos".</t>
        </is>
      </c>
    </row>
    <row r="30" ht="15" customHeight="1" s="59">
      <c r="B30" s="71" t="inlineStr">
        <is>
          <t>✗ NO escribir nombres a mano si ya existen en las maestras — usar el dropdown.</t>
        </is>
      </c>
    </row>
    <row r="31" ht="15" customHeight="1" s="59">
      <c r="B31" s="71" t="inlineStr">
        <is>
          <t>✗ NO editar columnas con fondo gris claro: son de solo lectura (fórmulas).</t>
        </is>
      </c>
    </row>
    <row r="32" ht="15" customHeight="1" s="59">
      <c r="B32" s="71" t="inlineStr">
        <is>
          <t>✓ SÍ registrar el kilometraje cuando esté disponible.</t>
        </is>
      </c>
    </row>
    <row r="33" ht="15" customHeight="1" s="59">
      <c r="B33" s="71" t="inlineStr">
        <is>
          <t>✓ SÍ mantener actualizados los contactos en "Dueños".</t>
        </is>
      </c>
    </row>
    <row r="34" ht="15" customHeight="1" s="59">
      <c r="B34" s="71" t="inlineStr">
        <is>
          <t>✓ SÍ describir el gasto con detalle.</t>
        </is>
      </c>
    </row>
  </sheetData>
  <mergeCells count="24">
    <mergeCell ref="C10:H10"/>
    <mergeCell ref="C9:H9"/>
    <mergeCell ref="B24:H24"/>
    <mergeCell ref="B30:H30"/>
    <mergeCell ref="B2:H3"/>
    <mergeCell ref="B33:H33"/>
    <mergeCell ref="C12:H12"/>
    <mergeCell ref="C11:H11"/>
    <mergeCell ref="B32:H32"/>
    <mergeCell ref="B26:H26"/>
    <mergeCell ref="B4:H4"/>
    <mergeCell ref="C8:H8"/>
    <mergeCell ref="B16:H16"/>
    <mergeCell ref="B25:H25"/>
    <mergeCell ref="C7:H7"/>
    <mergeCell ref="B31:H31"/>
    <mergeCell ref="B22:H22"/>
    <mergeCell ref="B18:H18"/>
    <mergeCell ref="C13:H13"/>
    <mergeCell ref="B23:H23"/>
    <mergeCell ref="B17:H17"/>
    <mergeCell ref="B29:H29"/>
    <mergeCell ref="B19:H19"/>
    <mergeCell ref="B34:H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64" min="1" max="1"/>
    <col width="16" customWidth="1" style="64" min="2" max="4"/>
    <col width="28" customWidth="1" style="64" min="5" max="5"/>
    <col width="16" customWidth="1" style="64" min="6" max="6"/>
    <col width="12" customWidth="1" style="64" min="7" max="7"/>
    <col width="40" customWidth="1" style="64" min="8" max="8"/>
  </cols>
  <sheetData>
    <row r="1" ht="33.75" customHeight="1" s="59">
      <c r="A1" s="73" t="inlineStr">
        <is>
          <t>Nombre completo</t>
        </is>
      </c>
      <c r="B1" s="73" t="inlineStr">
        <is>
          <t>Documento</t>
        </is>
      </c>
      <c r="C1" s="73" t="inlineStr">
        <is>
          <t>Teléfono</t>
        </is>
      </c>
      <c r="D1" s="73" t="inlineStr">
        <is>
          <t>WhatsApp</t>
        </is>
      </c>
      <c r="E1" s="73" t="inlineStr">
        <is>
          <t>Email</t>
        </is>
      </c>
      <c r="F1" s="73" t="inlineStr">
        <is>
          <t>Fecha inicio</t>
        </is>
      </c>
      <c r="G1" s="73" t="inlineStr">
        <is>
          <t>% Comisión</t>
        </is>
      </c>
      <c r="H1" s="73" t="inlineStr">
        <is>
          <t>Notas</t>
        </is>
      </c>
    </row>
    <row r="2" ht="15" customHeight="1" s="59">
      <c r="A2" s="74" t="inlineStr">
        <is>
          <t>Joseph Restrepo</t>
        </is>
      </c>
      <c r="B2" s="74" t="n"/>
      <c r="C2" s="74" t="n"/>
      <c r="D2" s="74" t="n"/>
      <c r="E2" s="74" t="n"/>
      <c r="F2" s="75" t="n">
        <v>46006</v>
      </c>
      <c r="G2" s="76" t="n">
        <v>0.214</v>
      </c>
      <c r="H2" s="74" t="inlineStr">
        <is>
          <t>Dueño de UUO-808 — vehículo piloto del sistema</t>
        </is>
      </c>
    </row>
    <row r="3" ht="15" customHeight="1" s="59">
      <c r="A3" s="74" t="inlineStr">
        <is>
          <t>Juan Pablo Bayona Areiza</t>
        </is>
      </c>
      <c r="B3" s="74" t="n"/>
      <c r="C3" s="74" t="n"/>
      <c r="D3" s="74" t="n"/>
      <c r="E3" s="74" t="n"/>
      <c r="F3" s="75" t="n"/>
      <c r="G3" s="76" t="n">
        <v>0</v>
      </c>
      <c r="H3" s="74" t="inlineStr">
        <is>
          <t>Administrador de la flota</t>
        </is>
      </c>
    </row>
    <row r="4" ht="15" customHeight="1" s="59">
      <c r="A4" s="77" t="inlineStr">
        <is>
          <t>(pendiente-1)</t>
        </is>
      </c>
      <c r="B4" s="74" t="n"/>
      <c r="C4" s="74" t="n"/>
      <c r="D4" s="74" t="n"/>
      <c r="E4" s="74" t="n"/>
      <c r="F4" s="75" t="n"/>
      <c r="G4" s="76" t="n">
        <v>0.214</v>
      </c>
      <c r="H4" s="74" t="inlineStr">
        <is>
          <t>Completar cuando entre un nuevo dueño</t>
        </is>
      </c>
    </row>
    <row r="5" ht="15" customHeight="1" s="59">
      <c r="A5" s="77" t="inlineStr">
        <is>
          <t>(pendiente-2)</t>
        </is>
      </c>
      <c r="B5" s="74" t="n"/>
      <c r="C5" s="74" t="n"/>
      <c r="D5" s="74" t="n"/>
      <c r="E5" s="74" t="n"/>
      <c r="F5" s="75" t="n"/>
      <c r="G5" s="76" t="n">
        <v>0.214</v>
      </c>
      <c r="H5" s="74" t="inlineStr">
        <is>
          <t>Completar cuando entre un nuevo dueño</t>
        </is>
      </c>
    </row>
    <row r="6" ht="15" customHeight="1" s="59">
      <c r="A6" s="77" t="inlineStr">
        <is>
          <t>(pendiente-3)</t>
        </is>
      </c>
      <c r="B6" s="74" t="n"/>
      <c r="C6" s="74" t="n"/>
      <c r="D6" s="74" t="n"/>
      <c r="E6" s="74" t="n"/>
      <c r="F6" s="75" t="n"/>
      <c r="G6" s="76" t="n">
        <v>0.214</v>
      </c>
      <c r="H6" s="74" t="inlineStr">
        <is>
          <t>Completar cuando entre un nuevo dueño</t>
        </is>
      </c>
    </row>
    <row r="7" ht="15" customHeight="1" s="59">
      <c r="A7" s="77" t="inlineStr">
        <is>
          <t>(pendiente-4)</t>
        </is>
      </c>
      <c r="B7" s="74" t="n"/>
      <c r="C7" s="74" t="n"/>
      <c r="D7" s="74" t="n"/>
      <c r="E7" s="74" t="n"/>
      <c r="F7" s="75" t="n"/>
      <c r="G7" s="76" t="n">
        <v>0.214</v>
      </c>
      <c r="H7" s="74" t="inlineStr">
        <is>
          <t>Completar cuando entre un nuevo dueño</t>
        </is>
      </c>
    </row>
    <row r="8" ht="15" customHeight="1" s="59">
      <c r="A8" s="77" t="inlineStr">
        <is>
          <t>(pendiente-5)</t>
        </is>
      </c>
      <c r="B8" s="74" t="n"/>
      <c r="C8" s="74" t="n"/>
      <c r="D8" s="74" t="n"/>
      <c r="E8" s="74" t="n"/>
      <c r="F8" s="75" t="n"/>
      <c r="G8" s="76" t="n">
        <v>0.214</v>
      </c>
      <c r="H8" s="74" t="inlineStr">
        <is>
          <t>Completar cuando entre un nuevo dueño</t>
        </is>
      </c>
    </row>
    <row r="9" ht="15" customHeight="1" s="59">
      <c r="A9" s="77" t="inlineStr">
        <is>
          <t>(pendiente-6)</t>
        </is>
      </c>
      <c r="B9" s="74" t="n"/>
      <c r="C9" s="74" t="n"/>
      <c r="D9" s="74" t="n"/>
      <c r="E9" s="74" t="n"/>
      <c r="F9" s="75" t="n"/>
      <c r="G9" s="76" t="n">
        <v>0.214</v>
      </c>
      <c r="H9" s="74" t="inlineStr">
        <is>
          <t>Completar cuando entre un nuevo dueño</t>
        </is>
      </c>
    </row>
    <row r="10" ht="15" customHeight="1" s="59">
      <c r="A10" s="77" t="inlineStr">
        <is>
          <t>(pendiente-7)</t>
        </is>
      </c>
      <c r="B10" s="74" t="n"/>
      <c r="C10" s="74" t="n"/>
      <c r="D10" s="74" t="n"/>
      <c r="E10" s="74" t="n"/>
      <c r="F10" s="75" t="n"/>
      <c r="G10" s="76" t="n">
        <v>0.214</v>
      </c>
      <c r="H10" s="74" t="inlineStr">
        <is>
          <t>Completar cuando entre un nuevo dueño</t>
        </is>
      </c>
    </row>
    <row r="11" ht="15" customHeight="1" s="59">
      <c r="A11" s="77" t="inlineStr">
        <is>
          <t>(pendiente-8)</t>
        </is>
      </c>
      <c r="B11" s="74" t="n"/>
      <c r="C11" s="74" t="n"/>
      <c r="D11" s="74" t="n"/>
      <c r="E11" s="74" t="n"/>
      <c r="F11" s="75" t="n"/>
      <c r="G11" s="76" t="n">
        <v>0.214</v>
      </c>
      <c r="H11" s="74" t="inlineStr">
        <is>
          <t>Completar cuando entre un nuevo dueño</t>
        </is>
      </c>
    </row>
    <row r="12" ht="15" customHeight="1" s="59">
      <c r="A12" s="77" t="inlineStr">
        <is>
          <t>(pendiente-9)</t>
        </is>
      </c>
      <c r="B12" s="74" t="n"/>
      <c r="C12" s="74" t="n"/>
      <c r="D12" s="74" t="n"/>
      <c r="E12" s="74" t="n"/>
      <c r="F12" s="75" t="n"/>
      <c r="G12" s="76" t="n">
        <v>0.214</v>
      </c>
      <c r="H12" s="74" t="inlineStr">
        <is>
          <t>Completar cuando entre un nuevo dueño</t>
        </is>
      </c>
    </row>
    <row r="13" ht="15" customHeight="1" s="59">
      <c r="A13" s="77" t="inlineStr">
        <is>
          <t>(pendiente-10)</t>
        </is>
      </c>
      <c r="B13" s="74" t="n"/>
      <c r="C13" s="74" t="n"/>
      <c r="D13" s="74" t="n"/>
      <c r="E13" s="74" t="n"/>
      <c r="F13" s="75" t="n"/>
      <c r="G13" s="76" t="n">
        <v>0.214</v>
      </c>
      <c r="H13" s="74" t="inlineStr">
        <is>
          <t>Completar cuando entre un nuevo dueño</t>
        </is>
      </c>
    </row>
    <row r="14" ht="15" customHeight="1" s="59">
      <c r="A14" s="77" t="inlineStr">
        <is>
          <t>(pendiente-11)</t>
        </is>
      </c>
      <c r="B14" s="74" t="n"/>
      <c r="C14" s="74" t="n"/>
      <c r="D14" s="74" t="n"/>
      <c r="E14" s="74" t="n"/>
      <c r="F14" s="75" t="n"/>
      <c r="G14" s="76" t="n">
        <v>0.214</v>
      </c>
      <c r="H14" s="74" t="inlineStr">
        <is>
          <t>Completar cuando entre un nuevo dueño</t>
        </is>
      </c>
    </row>
    <row r="15" ht="15" customHeight="1" s="59">
      <c r="A15" s="77" t="inlineStr">
        <is>
          <t>(pendiente-12)</t>
        </is>
      </c>
      <c r="B15" s="74" t="n"/>
      <c r="C15" s="74" t="n"/>
      <c r="D15" s="74" t="n"/>
      <c r="E15" s="74" t="n"/>
      <c r="F15" s="75" t="n"/>
      <c r="G15" s="76" t="n">
        <v>0.214</v>
      </c>
      <c r="H15" s="74" t="inlineStr">
        <is>
          <t>Completar cuando entre un nuevo dueño</t>
        </is>
      </c>
    </row>
    <row r="16" ht="15" customHeight="1" s="59">
      <c r="A16" s="77" t="inlineStr">
        <is>
          <t>(pendiente-13)</t>
        </is>
      </c>
      <c r="B16" s="74" t="n"/>
      <c r="C16" s="74" t="n"/>
      <c r="D16" s="74" t="n"/>
      <c r="E16" s="74" t="n"/>
      <c r="F16" s="75" t="n"/>
      <c r="G16" s="76" t="n">
        <v>0.214</v>
      </c>
      <c r="H16" s="74" t="inlineStr">
        <is>
          <t>Completar cuando entre un nuevo dueño</t>
        </is>
      </c>
    </row>
    <row r="17" ht="15" customHeight="1" s="59">
      <c r="A17" s="77" t="inlineStr">
        <is>
          <t>(pendiente-14)</t>
        </is>
      </c>
      <c r="B17" s="74" t="n"/>
      <c r="C17" s="74" t="n"/>
      <c r="D17" s="74" t="n"/>
      <c r="E17" s="74" t="n"/>
      <c r="F17" s="75" t="n"/>
      <c r="G17" s="76" t="n">
        <v>0.214</v>
      </c>
      <c r="H17" s="74" t="inlineStr">
        <is>
          <t>Completar cuando entre un nuevo dueño</t>
        </is>
      </c>
    </row>
    <row r="18" ht="15" customHeight="1" s="59">
      <c r="A18" s="77" t="inlineStr">
        <is>
          <t>(pendiente-15)</t>
        </is>
      </c>
      <c r="B18" s="74" t="n"/>
      <c r="C18" s="74" t="n"/>
      <c r="D18" s="74" t="n"/>
      <c r="E18" s="74" t="n"/>
      <c r="F18" s="75" t="n"/>
      <c r="G18" s="76" t="n">
        <v>0.214</v>
      </c>
      <c r="H18" s="74" t="inlineStr">
        <is>
          <t>Completar cuando entre un nuevo dueño</t>
        </is>
      </c>
    </row>
    <row r="19" ht="15" customHeight="1" s="59">
      <c r="A19" s="77" t="inlineStr">
        <is>
          <t>(pendiente-16)</t>
        </is>
      </c>
      <c r="B19" s="74" t="n"/>
      <c r="C19" s="74" t="n"/>
      <c r="D19" s="74" t="n"/>
      <c r="E19" s="74" t="n"/>
      <c r="F19" s="75" t="n"/>
      <c r="G19" s="76" t="n">
        <v>0.214</v>
      </c>
      <c r="H19" s="74" t="inlineStr">
        <is>
          <t>Completar cuando entre un nuevo dueño</t>
        </is>
      </c>
    </row>
    <row r="20" ht="15" customHeight="1" s="59">
      <c r="A20" s="77" t="inlineStr">
        <is>
          <t>(pendiente-17)</t>
        </is>
      </c>
      <c r="B20" s="74" t="n"/>
      <c r="C20" s="74" t="n"/>
      <c r="D20" s="74" t="n"/>
      <c r="E20" s="74" t="n"/>
      <c r="F20" s="75" t="n"/>
      <c r="G20" s="76" t="n">
        <v>0.214</v>
      </c>
      <c r="H20" s="74" t="inlineStr">
        <is>
          <t>Completar cuando entre un nuevo dueño</t>
        </is>
      </c>
    </row>
    <row r="21" ht="15" customHeight="1" s="59">
      <c r="A21" s="77" t="inlineStr">
        <is>
          <t>(pendiente-18)</t>
        </is>
      </c>
      <c r="B21" s="74" t="n"/>
      <c r="C21" s="74" t="n"/>
      <c r="D21" s="74" t="n"/>
      <c r="E21" s="74" t="n"/>
      <c r="F21" s="75" t="n"/>
      <c r="G21" s="76" t="n">
        <v>0.214</v>
      </c>
      <c r="H21" s="74" t="inlineStr">
        <is>
          <t>Completar cuando entre un nuevo dueño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64" min="1" max="1"/>
    <col width="14" customWidth="1" style="64" min="2" max="3"/>
    <col width="8" customWidth="1" style="64" min="4" max="4"/>
    <col width="26" customWidth="1" style="64" min="5" max="5"/>
    <col width="14" customWidth="1" style="64" min="6" max="6"/>
    <col width="18" customWidth="1" style="64" min="7" max="7"/>
    <col width="14" customWidth="1" style="64" min="8" max="8"/>
    <col width="12" customWidth="1" style="64" min="9" max="9"/>
    <col width="45" customWidth="1" style="64" min="10" max="10"/>
  </cols>
  <sheetData>
    <row r="1" ht="33.75" customHeight="1" s="59">
      <c r="A1" s="73" t="inlineStr">
        <is>
          <t>Placa</t>
        </is>
      </c>
      <c r="B1" s="73" t="inlineStr">
        <is>
          <t>Marca</t>
        </is>
      </c>
      <c r="C1" s="73" t="inlineStr">
        <is>
          <t>Modelo</t>
        </is>
      </c>
      <c r="D1" s="73" t="inlineStr">
        <is>
          <t>Año</t>
        </is>
      </c>
      <c r="E1" s="73" t="inlineStr">
        <is>
          <t>Dueño</t>
        </is>
      </c>
      <c r="F1" s="73" t="inlineStr">
        <is>
          <t>Fecha compra</t>
        </is>
      </c>
      <c r="G1" s="73" t="inlineStr">
        <is>
          <t>Costo adquisición</t>
        </is>
      </c>
      <c r="H1" s="73" t="inlineStr">
        <is>
          <t>Km al comprar</t>
        </is>
      </c>
      <c r="I1" s="73" t="inlineStr">
        <is>
          <t>Estado</t>
        </is>
      </c>
      <c r="J1" s="73" t="inlineStr">
        <is>
          <t>Notas</t>
        </is>
      </c>
    </row>
    <row r="2" ht="15" customHeight="1" s="59">
      <c r="A2" s="74" t="inlineStr">
        <is>
          <t>UUO-808</t>
        </is>
      </c>
      <c r="B2" s="74" t="inlineStr">
        <is>
          <t>Nissan</t>
        </is>
      </c>
      <c r="C2" s="74" t="inlineStr">
        <is>
          <t>March</t>
        </is>
      </c>
      <c r="D2" s="78" t="n">
        <v>2020</v>
      </c>
      <c r="E2" s="74" t="inlineStr">
        <is>
          <t>Joseph Restrepo</t>
        </is>
      </c>
      <c r="F2" s="75" t="n">
        <v>46006</v>
      </c>
      <c r="G2" s="79" t="n"/>
      <c r="H2" s="80" t="n"/>
      <c r="I2" s="74" t="inlineStr">
        <is>
          <t>Activo</t>
        </is>
      </c>
      <c r="J2" s="74" t="inlineStr">
        <is>
          <t>Vehículo piloto — data completa desde dic-2025</t>
        </is>
      </c>
    </row>
    <row r="3" ht="15" customHeight="1" s="59">
      <c r="A3" s="74" t="inlineStr">
        <is>
          <t>ADMIN</t>
        </is>
      </c>
      <c r="B3" s="74" t="inlineStr">
        <is>
          <t>—</t>
        </is>
      </c>
      <c r="C3" s="74" t="inlineStr">
        <is>
          <t>—</t>
        </is>
      </c>
      <c r="D3" s="78" t="n"/>
      <c r="E3" s="74" t="inlineStr">
        <is>
          <t>Juan Pablo Bayona Areiza</t>
        </is>
      </c>
      <c r="F3" s="75" t="n"/>
      <c r="G3" s="79" t="n"/>
      <c r="H3" s="80" t="n"/>
      <c r="I3" s="74" t="inlineStr">
        <is>
          <t>Contable</t>
        </is>
      </c>
      <c r="J3" s="74" t="inlineStr">
        <is>
          <t>Entrada contable para movimientos administrativos</t>
        </is>
      </c>
    </row>
    <row r="4" ht="15" customHeight="1" s="59">
      <c r="A4" s="77" t="inlineStr">
        <is>
          <t>(pendiente-1)</t>
        </is>
      </c>
      <c r="B4" s="74" t="n"/>
      <c r="C4" s="74" t="n"/>
      <c r="D4" s="78" t="n"/>
      <c r="E4" s="74" t="n"/>
      <c r="F4" s="75" t="n"/>
      <c r="G4" s="79" t="n"/>
      <c r="H4" s="80" t="n"/>
      <c r="I4" s="74" t="n"/>
      <c r="J4" s="74" t="inlineStr">
        <is>
          <t>Completar cuando entre un nuevo vehículo</t>
        </is>
      </c>
    </row>
    <row r="5" ht="15" customHeight="1" s="59">
      <c r="A5" s="77" t="inlineStr">
        <is>
          <t>(pendiente-2)</t>
        </is>
      </c>
      <c r="B5" s="74" t="n"/>
      <c r="C5" s="74" t="n"/>
      <c r="D5" s="78" t="n"/>
      <c r="E5" s="74" t="n"/>
      <c r="F5" s="75" t="n"/>
      <c r="G5" s="79" t="n"/>
      <c r="H5" s="80" t="n"/>
      <c r="I5" s="74" t="n"/>
      <c r="J5" s="74" t="inlineStr">
        <is>
          <t>Completar cuando entre un nuevo vehículo</t>
        </is>
      </c>
    </row>
    <row r="6" ht="15" customHeight="1" s="59">
      <c r="A6" s="77" t="inlineStr">
        <is>
          <t>(pendiente-3)</t>
        </is>
      </c>
      <c r="B6" s="74" t="n"/>
      <c r="C6" s="74" t="n"/>
      <c r="D6" s="78" t="n"/>
      <c r="E6" s="74" t="n"/>
      <c r="F6" s="75" t="n"/>
      <c r="G6" s="79" t="n"/>
      <c r="H6" s="80" t="n"/>
      <c r="I6" s="74" t="n"/>
      <c r="J6" s="74" t="inlineStr">
        <is>
          <t>Completar cuando entre un nuevo vehículo</t>
        </is>
      </c>
    </row>
    <row r="7" ht="15" customHeight="1" s="59">
      <c r="A7" s="77" t="inlineStr">
        <is>
          <t>(pendiente-4)</t>
        </is>
      </c>
      <c r="B7" s="74" t="n"/>
      <c r="C7" s="74" t="n"/>
      <c r="D7" s="78" t="n"/>
      <c r="E7" s="74" t="n"/>
      <c r="F7" s="75" t="n"/>
      <c r="G7" s="79" t="n"/>
      <c r="H7" s="80" t="n"/>
      <c r="I7" s="74" t="n"/>
      <c r="J7" s="74" t="inlineStr">
        <is>
          <t>Completar cuando entre un nuevo vehículo</t>
        </is>
      </c>
    </row>
    <row r="8" ht="15" customHeight="1" s="59">
      <c r="A8" s="77" t="inlineStr">
        <is>
          <t>(pendiente-5)</t>
        </is>
      </c>
      <c r="B8" s="74" t="n"/>
      <c r="C8" s="74" t="n"/>
      <c r="D8" s="78" t="n"/>
      <c r="E8" s="74" t="n"/>
      <c r="F8" s="75" t="n"/>
      <c r="G8" s="79" t="n"/>
      <c r="H8" s="80" t="n"/>
      <c r="I8" s="74" t="n"/>
      <c r="J8" s="74" t="inlineStr">
        <is>
          <t>Completar cuando entre un nuevo vehículo</t>
        </is>
      </c>
    </row>
    <row r="9" ht="15" customHeight="1" s="59">
      <c r="A9" s="77" t="inlineStr">
        <is>
          <t>(pendiente-6)</t>
        </is>
      </c>
      <c r="B9" s="74" t="n"/>
      <c r="C9" s="74" t="n"/>
      <c r="D9" s="78" t="n"/>
      <c r="E9" s="74" t="n"/>
      <c r="F9" s="75" t="n"/>
      <c r="G9" s="79" t="n"/>
      <c r="H9" s="80" t="n"/>
      <c r="I9" s="74" t="n"/>
      <c r="J9" s="74" t="inlineStr">
        <is>
          <t>Completar cuando entre un nuevo vehículo</t>
        </is>
      </c>
    </row>
    <row r="10" ht="15" customHeight="1" s="59">
      <c r="A10" s="77" t="inlineStr">
        <is>
          <t>(pendiente-7)</t>
        </is>
      </c>
      <c r="B10" s="74" t="n"/>
      <c r="C10" s="74" t="n"/>
      <c r="D10" s="78" t="n"/>
      <c r="E10" s="74" t="n"/>
      <c r="F10" s="75" t="n"/>
      <c r="G10" s="79" t="n"/>
      <c r="H10" s="80" t="n"/>
      <c r="I10" s="74" t="n"/>
      <c r="J10" s="74" t="inlineStr">
        <is>
          <t>Completar cuando entre un nuevo vehículo</t>
        </is>
      </c>
    </row>
    <row r="11" ht="15" customHeight="1" s="59">
      <c r="A11" s="77" t="inlineStr">
        <is>
          <t>(pendiente-8)</t>
        </is>
      </c>
      <c r="B11" s="74" t="n"/>
      <c r="C11" s="74" t="n"/>
      <c r="D11" s="78" t="n"/>
      <c r="E11" s="74" t="n"/>
      <c r="F11" s="75" t="n"/>
      <c r="G11" s="79" t="n"/>
      <c r="H11" s="80" t="n"/>
      <c r="I11" s="74" t="n"/>
      <c r="J11" s="74" t="inlineStr">
        <is>
          <t>Completar cuando entre un nuevo vehículo</t>
        </is>
      </c>
    </row>
    <row r="12" ht="15" customHeight="1" s="59">
      <c r="A12" s="77" t="inlineStr">
        <is>
          <t>(pendiente-9)</t>
        </is>
      </c>
      <c r="B12" s="74" t="n"/>
      <c r="C12" s="74" t="n"/>
      <c r="D12" s="78" t="n"/>
      <c r="E12" s="74" t="n"/>
      <c r="F12" s="75" t="n"/>
      <c r="G12" s="79" t="n"/>
      <c r="H12" s="80" t="n"/>
      <c r="I12" s="74" t="n"/>
      <c r="J12" s="74" t="inlineStr">
        <is>
          <t>Completar cuando entre un nuevo vehículo</t>
        </is>
      </c>
    </row>
    <row r="13" ht="15" customHeight="1" s="59">
      <c r="A13" s="77" t="inlineStr">
        <is>
          <t>(pendiente-10)</t>
        </is>
      </c>
      <c r="B13" s="74" t="n"/>
      <c r="C13" s="74" t="n"/>
      <c r="D13" s="78" t="n"/>
      <c r="E13" s="74" t="n"/>
      <c r="F13" s="75" t="n"/>
      <c r="G13" s="79" t="n"/>
      <c r="H13" s="80" t="n"/>
      <c r="I13" s="74" t="n"/>
      <c r="J13" s="74" t="inlineStr">
        <is>
          <t>Completar cuando entre un nuevo vehículo</t>
        </is>
      </c>
    </row>
    <row r="14" ht="15" customHeight="1" s="59">
      <c r="A14" s="77" t="inlineStr">
        <is>
          <t>(pendiente-11)</t>
        </is>
      </c>
      <c r="B14" s="74" t="n"/>
      <c r="C14" s="74" t="n"/>
      <c r="D14" s="78" t="n"/>
      <c r="E14" s="74" t="n"/>
      <c r="F14" s="75" t="n"/>
      <c r="G14" s="79" t="n"/>
      <c r="H14" s="80" t="n"/>
      <c r="I14" s="74" t="n"/>
      <c r="J14" s="74" t="inlineStr">
        <is>
          <t>Completar cuando entre un nuevo vehículo</t>
        </is>
      </c>
    </row>
    <row r="15" ht="15" customHeight="1" s="59">
      <c r="A15" s="77" t="inlineStr">
        <is>
          <t>(pendiente-12)</t>
        </is>
      </c>
      <c r="B15" s="74" t="n"/>
      <c r="C15" s="74" t="n"/>
      <c r="D15" s="78" t="n"/>
      <c r="E15" s="74" t="n"/>
      <c r="F15" s="75" t="n"/>
      <c r="G15" s="79" t="n"/>
      <c r="H15" s="80" t="n"/>
      <c r="I15" s="74" t="n"/>
      <c r="J15" s="74" t="inlineStr">
        <is>
          <t>Completar cuando entre un nuevo vehículo</t>
        </is>
      </c>
    </row>
    <row r="16" ht="15" customHeight="1" s="59">
      <c r="A16" s="77" t="inlineStr">
        <is>
          <t>(pendiente-13)</t>
        </is>
      </c>
      <c r="B16" s="74" t="n"/>
      <c r="C16" s="74" t="n"/>
      <c r="D16" s="78" t="n"/>
      <c r="E16" s="74" t="n"/>
      <c r="F16" s="75" t="n"/>
      <c r="G16" s="79" t="n"/>
      <c r="H16" s="80" t="n"/>
      <c r="I16" s="74" t="n"/>
      <c r="J16" s="74" t="inlineStr">
        <is>
          <t>Completar cuando entre un nuevo vehículo</t>
        </is>
      </c>
    </row>
    <row r="17" ht="15" customHeight="1" s="59">
      <c r="A17" s="77" t="inlineStr">
        <is>
          <t>(pendiente-14)</t>
        </is>
      </c>
      <c r="B17" s="74" t="n"/>
      <c r="C17" s="74" t="n"/>
      <c r="D17" s="78" t="n"/>
      <c r="E17" s="74" t="n"/>
      <c r="F17" s="75" t="n"/>
      <c r="G17" s="79" t="n"/>
      <c r="H17" s="80" t="n"/>
      <c r="I17" s="74" t="n"/>
      <c r="J17" s="74" t="inlineStr">
        <is>
          <t>Completar cuando entre un nuevo vehículo</t>
        </is>
      </c>
    </row>
    <row r="18" ht="15" customHeight="1" s="59">
      <c r="A18" s="77" t="inlineStr">
        <is>
          <t>(pendiente-15)</t>
        </is>
      </c>
      <c r="B18" s="74" t="n"/>
      <c r="C18" s="74" t="n"/>
      <c r="D18" s="78" t="n"/>
      <c r="E18" s="74" t="n"/>
      <c r="F18" s="75" t="n"/>
      <c r="G18" s="79" t="n"/>
      <c r="H18" s="80" t="n"/>
      <c r="I18" s="74" t="n"/>
      <c r="J18" s="74" t="inlineStr">
        <is>
          <t>Completar cuando entre un nuevo vehículo</t>
        </is>
      </c>
    </row>
    <row r="19" ht="15" customHeight="1" s="59">
      <c r="A19" s="77" t="inlineStr">
        <is>
          <t>(pendiente-16)</t>
        </is>
      </c>
      <c r="B19" s="74" t="n"/>
      <c r="C19" s="74" t="n"/>
      <c r="D19" s="78" t="n"/>
      <c r="E19" s="74" t="n"/>
      <c r="F19" s="75" t="n"/>
      <c r="G19" s="79" t="n"/>
      <c r="H19" s="80" t="n"/>
      <c r="I19" s="74" t="n"/>
      <c r="J19" s="74" t="inlineStr">
        <is>
          <t>Completar cuando entre un nuevo vehículo</t>
        </is>
      </c>
    </row>
    <row r="20" ht="15" customHeight="1" s="59">
      <c r="A20" s="77" t="inlineStr">
        <is>
          <t>(pendiente-17)</t>
        </is>
      </c>
      <c r="B20" s="74" t="n"/>
      <c r="C20" s="74" t="n"/>
      <c r="D20" s="78" t="n"/>
      <c r="E20" s="74" t="n"/>
      <c r="F20" s="75" t="n"/>
      <c r="G20" s="79" t="n"/>
      <c r="H20" s="80" t="n"/>
      <c r="I20" s="74" t="n"/>
      <c r="J20" s="74" t="inlineStr">
        <is>
          <t>Completar cuando entre un nuevo vehículo</t>
        </is>
      </c>
    </row>
    <row r="21" ht="15" customHeight="1" s="59">
      <c r="A21" s="77" t="inlineStr">
        <is>
          <t>(pendiente-18)</t>
        </is>
      </c>
      <c r="B21" s="74" t="n"/>
      <c r="C21" s="74" t="n"/>
      <c r="D21" s="78" t="n"/>
      <c r="E21" s="74" t="n"/>
      <c r="F21" s="75" t="n"/>
      <c r="G21" s="79" t="n"/>
      <c r="H21" s="80" t="n"/>
      <c r="I21" s="74" t="n"/>
      <c r="J21" s="74" t="inlineStr">
        <is>
          <t>Completar cuando entre un nuevo vehículo</t>
        </is>
      </c>
    </row>
  </sheetData>
  <dataValidations count="2">
    <dataValidation sqref="E2:E21" showDropDown="0" showInputMessage="0" showErrorMessage="1" allowBlank="1" errorTitle="Dueño inválido" error="Selecciona un dueño registrado en la hoja &quot;Dueños&quot;." type="list" errorStyle="stop" operator="between">
      <formula1>rng_Duenos</formula1>
      <formula2>0</formula2>
    </dataValidation>
    <dataValidation sqref="I2:I21" showDropDown="0" showInputMessage="0" showErrorMessage="0" allowBlank="1" type="list" errorStyle="stop" operator="between">
      <formula1>"Activo,Inactivo,En venta,Retirado,Contable"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64" min="1" max="1"/>
    <col width="16" customWidth="1" style="64" min="2" max="2"/>
    <col width="18" customWidth="1" style="64" min="3" max="3"/>
    <col width="16" customWidth="1" style="64" min="4" max="4"/>
    <col width="40" customWidth="1" style="64" min="5" max="5"/>
  </cols>
  <sheetData>
    <row r="1" ht="31.5" customHeight="1" s="59">
      <c r="A1" s="73" t="inlineStr">
        <is>
          <t>Nombre</t>
        </is>
      </c>
      <c r="B1" s="73" t="inlineStr">
        <is>
          <t>Tipo</t>
        </is>
      </c>
      <c r="C1" s="73" t="inlineStr">
        <is>
          <t>Documento</t>
        </is>
      </c>
      <c r="D1" s="73" t="inlineStr">
        <is>
          <t>Teléfono</t>
        </is>
      </c>
      <c r="E1" s="73" t="inlineStr">
        <is>
          <t>Notas</t>
        </is>
      </c>
    </row>
    <row r="2" ht="15" customHeight="1" s="59">
      <c r="A2" s="74" t="inlineStr">
        <is>
          <t>Juan Pablo Bayona Areiza</t>
        </is>
      </c>
      <c r="B2" s="74" t="inlineStr">
        <is>
          <t>Administrativo</t>
        </is>
      </c>
      <c r="C2" s="74" t="n"/>
      <c r="D2" s="74" t="n"/>
      <c r="E2" s="74" t="inlineStr">
        <is>
          <t>Administra la flota</t>
        </is>
      </c>
    </row>
    <row r="3" ht="15" customHeight="1" s="59">
      <c r="A3" s="74" t="inlineStr">
        <is>
          <t>José Daniel Otálvaro</t>
        </is>
      </c>
      <c r="B3" s="74" t="inlineStr">
        <is>
          <t>Fijo</t>
        </is>
      </c>
      <c r="C3" s="74" t="n"/>
      <c r="D3" s="74" t="n"/>
      <c r="E3" s="74" t="inlineStr">
        <is>
          <t>Conductor principal UUO-808</t>
        </is>
      </c>
    </row>
    <row r="4" ht="15" customHeight="1" s="59">
      <c r="A4" s="74" t="inlineStr">
        <is>
          <t>Hernán Villada Villada</t>
        </is>
      </c>
      <c r="B4" s="74" t="inlineStr">
        <is>
          <t>Fijo</t>
        </is>
      </c>
      <c r="C4" s="74" t="n"/>
      <c r="D4" s="74" t="n"/>
      <c r="E4" s="74" t="n"/>
    </row>
    <row r="5" ht="15" customHeight="1" s="59">
      <c r="A5" s="74" t="inlineStr">
        <is>
          <t>Joseph Restrepo</t>
        </is>
      </c>
      <c r="B5" s="74" t="inlineStr">
        <is>
          <t>Propietario</t>
        </is>
      </c>
      <c r="C5" s="74" t="n"/>
      <c r="D5" s="74" t="n"/>
      <c r="E5" s="74" t="inlineStr">
        <is>
          <t>Dueño del vehículo UUO-808</t>
        </is>
      </c>
    </row>
    <row r="6" ht="15" customHeight="1" s="59">
      <c r="A6" s="74" t="inlineStr">
        <is>
          <t>Otros conductores</t>
        </is>
      </c>
      <c r="B6" s="74" t="inlineStr">
        <is>
          <t>Ocasional</t>
        </is>
      </c>
      <c r="C6" s="74" t="n"/>
      <c r="D6" s="74" t="n"/>
      <c r="E6" s="74" t="inlineStr">
        <is>
          <t>Entrada genérica</t>
        </is>
      </c>
    </row>
    <row r="7" ht="15" customHeight="1" s="59">
      <c r="A7" s="77" t="inlineStr">
        <is>
          <t>(pendiente-1)</t>
        </is>
      </c>
      <c r="B7" s="74" t="n"/>
      <c r="C7" s="74" t="n"/>
      <c r="D7" s="74" t="n"/>
      <c r="E7" s="74" t="n"/>
    </row>
    <row r="8" ht="15" customHeight="1" s="59">
      <c r="A8" s="77" t="inlineStr">
        <is>
          <t>(pendiente-2)</t>
        </is>
      </c>
      <c r="B8" s="74" t="n"/>
      <c r="C8" s="74" t="n"/>
      <c r="D8" s="74" t="n"/>
      <c r="E8" s="74" t="n"/>
    </row>
    <row r="9" ht="15" customHeight="1" s="59">
      <c r="A9" s="77" t="inlineStr">
        <is>
          <t>(pendiente-3)</t>
        </is>
      </c>
      <c r="B9" s="74" t="n"/>
      <c r="C9" s="74" t="n"/>
      <c r="D9" s="74" t="n"/>
      <c r="E9" s="74" t="n"/>
    </row>
    <row r="10" ht="15" customHeight="1" s="59">
      <c r="A10" s="77" t="inlineStr">
        <is>
          <t>(pendiente-4)</t>
        </is>
      </c>
      <c r="B10" s="74" t="n"/>
      <c r="C10" s="74" t="n"/>
      <c r="D10" s="74" t="n"/>
      <c r="E10" s="74" t="n"/>
    </row>
    <row r="11" ht="15" customHeight="1" s="59">
      <c r="A11" s="77" t="inlineStr">
        <is>
          <t>(pendiente-5)</t>
        </is>
      </c>
      <c r="B11" s="74" t="n"/>
      <c r="C11" s="74" t="n"/>
      <c r="D11" s="74" t="n"/>
      <c r="E11" s="74" t="n"/>
    </row>
    <row r="12" ht="15" customHeight="1" s="59">
      <c r="A12" s="77" t="inlineStr">
        <is>
          <t>(pendiente-6)</t>
        </is>
      </c>
      <c r="B12" s="74" t="n"/>
      <c r="C12" s="74" t="n"/>
      <c r="D12" s="74" t="n"/>
      <c r="E12" s="74" t="n"/>
    </row>
    <row r="13" ht="15" customHeight="1" s="59">
      <c r="A13" s="77" t="inlineStr">
        <is>
          <t>(pendiente-7)</t>
        </is>
      </c>
      <c r="B13" s="74" t="n"/>
      <c r="C13" s="74" t="n"/>
      <c r="D13" s="74" t="n"/>
      <c r="E13" s="74" t="n"/>
    </row>
    <row r="14" ht="15" customHeight="1" s="59">
      <c r="A14" s="77" t="inlineStr">
        <is>
          <t>(pendiente-8)</t>
        </is>
      </c>
      <c r="B14" s="74" t="n"/>
      <c r="C14" s="74" t="n"/>
      <c r="D14" s="74" t="n"/>
      <c r="E14" s="74" t="n"/>
    </row>
    <row r="15" ht="15" customHeight="1" s="59">
      <c r="A15" s="77" t="inlineStr">
        <is>
          <t>(pendiente-9)</t>
        </is>
      </c>
      <c r="B15" s="74" t="n"/>
      <c r="C15" s="74" t="n"/>
      <c r="D15" s="74" t="n"/>
      <c r="E15" s="74" t="n"/>
    </row>
    <row r="16" ht="15" customHeight="1" s="59">
      <c r="A16" s="77" t="inlineStr">
        <is>
          <t>(pendiente-10)</t>
        </is>
      </c>
      <c r="B16" s="74" t="n"/>
      <c r="C16" s="74" t="n"/>
      <c r="D16" s="74" t="n"/>
      <c r="E16" s="74" t="n"/>
    </row>
    <row r="17" ht="15" customHeight="1" s="59">
      <c r="A17" s="77" t="inlineStr">
        <is>
          <t>(pendiente-11)</t>
        </is>
      </c>
      <c r="B17" s="74" t="n"/>
      <c r="C17" s="74" t="n"/>
      <c r="D17" s="74" t="n"/>
      <c r="E17" s="74" t="n"/>
    </row>
    <row r="18" ht="15" customHeight="1" s="59">
      <c r="A18" s="77" t="inlineStr">
        <is>
          <t>(pendiente-12)</t>
        </is>
      </c>
      <c r="B18" s="74" t="n"/>
      <c r="C18" s="74" t="n"/>
      <c r="D18" s="74" t="n"/>
      <c r="E18" s="74" t="n"/>
    </row>
    <row r="19" ht="15" customHeight="1" s="59">
      <c r="A19" s="77" t="inlineStr">
        <is>
          <t>(pendiente-13)</t>
        </is>
      </c>
      <c r="B19" s="74" t="n"/>
      <c r="C19" s="74" t="n"/>
      <c r="D19" s="74" t="n"/>
      <c r="E19" s="74" t="n"/>
    </row>
    <row r="20" ht="15" customHeight="1" s="59">
      <c r="A20" s="77" t="inlineStr">
        <is>
          <t>(pendiente-14)</t>
        </is>
      </c>
      <c r="B20" s="74" t="n"/>
      <c r="C20" s="74" t="n"/>
      <c r="D20" s="74" t="n"/>
      <c r="E20" s="74" t="n"/>
    </row>
    <row r="21" ht="15" customHeight="1" s="59">
      <c r="A21" s="77" t="inlineStr">
        <is>
          <t>(pendiente-15)</t>
        </is>
      </c>
      <c r="B21" s="74" t="n"/>
      <c r="C21" s="74" t="n"/>
      <c r="D21" s="74" t="n"/>
      <c r="E21" s="74" t="n"/>
    </row>
  </sheetData>
  <dataValidations count="1">
    <dataValidation sqref="B2:B21" showDropDown="0" showInputMessage="0" showErrorMessage="0" allowBlank="1" type="list" errorStyle="stop" operator="between">
      <formula1>"Fijo,Ocasional,Administrativo,Propietario"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64" min="1" max="1"/>
    <col width="14" customWidth="1" style="64" min="2" max="2"/>
    <col width="50" customWidth="1" style="64" min="3" max="3"/>
    <col width="44" customWidth="1" style="64" min="4" max="4"/>
  </cols>
  <sheetData>
    <row r="1" ht="31.5" customHeight="1" s="59">
      <c r="A1" s="73" t="inlineStr">
        <is>
          <t>Categoría</t>
        </is>
      </c>
      <c r="B1" s="73" t="inlineStr">
        <is>
          <t>Tipo esperado</t>
        </is>
      </c>
      <c r="C1" s="73" t="inlineStr">
        <is>
          <t>Descripción</t>
        </is>
      </c>
      <c r="D1" s="73" t="inlineStr">
        <is>
          <t>Ejemplos</t>
        </is>
      </c>
    </row>
    <row r="2" ht="15" customHeight="1" s="59">
      <c r="A2" s="74" t="inlineStr">
        <is>
          <t>Liquidación</t>
        </is>
      </c>
      <c r="B2" s="81" t="inlineStr">
        <is>
          <t>Ingreso</t>
        </is>
      </c>
      <c r="C2" s="74" t="inlineStr">
        <is>
          <t>Pago semanal del conductor por el alquiler del vehículo</t>
        </is>
      </c>
      <c r="D2" s="74" t="inlineStr">
        <is>
          <t>Liquidación semana del 01 al 07 de abril</t>
        </is>
      </c>
    </row>
    <row r="3" ht="15" customHeight="1" s="59">
      <c r="A3" s="74" t="inlineStr">
        <is>
          <t>Ingreso administrativo</t>
        </is>
      </c>
      <c r="B3" s="81" t="inlineStr">
        <is>
          <t>Ingreso</t>
        </is>
      </c>
      <c r="C3" s="74" t="inlineStr">
        <is>
          <t>Ingresos no operativos (reembolsos, devoluciones)</t>
        </is>
      </c>
      <c r="D3" s="74" t="inlineStr">
        <is>
          <t>Reembolso del propietario</t>
        </is>
      </c>
    </row>
    <row r="4" ht="15" customHeight="1" s="59">
      <c r="A4" s="74" t="inlineStr">
        <is>
          <t>Repuesto</t>
        </is>
      </c>
      <c r="B4" s="82" t="inlineStr">
        <is>
          <t>Gasto</t>
        </is>
      </c>
      <c r="C4" s="74" t="inlineStr">
        <is>
          <t>Piezas físicas compradas para el vehículo</t>
        </is>
      </c>
      <c r="D4" s="74" t="inlineStr">
        <is>
          <t>Retenedor, filtro, empaque, bujías</t>
        </is>
      </c>
    </row>
    <row r="5" ht="15" customHeight="1" s="59">
      <c r="A5" s="74" t="inlineStr">
        <is>
          <t>Mantenimiento</t>
        </is>
      </c>
      <c r="B5" s="82" t="inlineStr">
        <is>
          <t>Gasto</t>
        </is>
      </c>
      <c r="C5" s="74" t="inlineStr">
        <is>
          <t>Servicios de mantenimiento rutinario o preventivo</t>
        </is>
      </c>
      <c r="D5" s="74" t="inlineStr">
        <is>
          <t>Cambio de aceite, lavado, alineación</t>
        </is>
      </c>
    </row>
    <row r="6" ht="15" customHeight="1" s="59">
      <c r="A6" s="74" t="inlineStr">
        <is>
          <t>Mano de obra</t>
        </is>
      </c>
      <c r="B6" s="82" t="inlineStr">
        <is>
          <t>Gasto</t>
        </is>
      </c>
      <c r="C6" s="74" t="inlineStr">
        <is>
          <t>Pago por trabajo técnico realizado en el vehículo</t>
        </is>
      </c>
      <c r="D6" s="74" t="inlineStr">
        <is>
          <t>Cambio de aceite, rectificada, organización de llantas</t>
        </is>
      </c>
    </row>
    <row r="7" ht="15" customHeight="1" s="59">
      <c r="A7" s="74" t="inlineStr">
        <is>
          <t>Accesorio</t>
        </is>
      </c>
      <c r="B7" s="82" t="inlineStr">
        <is>
          <t>Gasto</t>
        </is>
      </c>
      <c r="C7" s="74" t="inlineStr">
        <is>
          <t>Elementos adicionales instalados en el vehículo</t>
        </is>
      </c>
      <c r="D7" s="74" t="inlineStr">
        <is>
          <t>GPS, plumillas, polarizado, kit de carretera</t>
        </is>
      </c>
    </row>
    <row r="8" ht="15" customHeight="1" s="59">
      <c r="A8" s="74" t="inlineStr">
        <is>
          <t>Gasto administrativo</t>
        </is>
      </c>
      <c r="B8" s="82" t="inlineStr">
        <is>
          <t>Gasto</t>
        </is>
      </c>
      <c r="C8" s="74" t="inlineStr">
        <is>
          <t>Comisión de Juan Pablo (21.4% de liquidaciones) y otros gastos admin</t>
        </is>
      </c>
      <c r="D8" s="74" t="inlineStr">
        <is>
          <t>Pago administración semanal, mototaxi</t>
        </is>
      </c>
    </row>
    <row r="9" ht="15" customHeight="1" s="59">
      <c r="A9" s="74" t="inlineStr">
        <is>
          <t>Técnico mecánica</t>
        </is>
      </c>
      <c r="B9" s="82" t="inlineStr">
        <is>
          <t>Gasto</t>
        </is>
      </c>
      <c r="C9" s="74" t="inlineStr">
        <is>
          <t>Trámites obligatorios (revisión técnico-mecánica, SOAT)</t>
        </is>
      </c>
      <c r="D9" s="74" t="inlineStr">
        <is>
          <t>Revisión tecnomecánica anual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5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64" min="1" max="1"/>
    <col width="10" customWidth="1" style="64" min="2" max="2"/>
    <col width="24" customWidth="1" style="64" min="3" max="3"/>
    <col width="10" customWidth="1" style="64" min="4" max="4"/>
    <col width="18" customWidth="1" style="64" min="5" max="5"/>
    <col width="55" customWidth="1" style="64" min="6" max="6"/>
    <col width="12" customWidth="1" style="64" min="7" max="7"/>
    <col width="14" customWidth="1" style="64" min="8" max="8"/>
    <col width="10" customWidth="1" style="64" min="9" max="9"/>
    <col width="16" customWidth="1" style="64" min="10" max="10"/>
  </cols>
  <sheetData>
    <row r="1" ht="33.75" customHeight="1" s="59">
      <c r="A1" s="73" t="inlineStr">
        <is>
          <t>Fecha</t>
        </is>
      </c>
      <c r="B1" s="73" t="inlineStr">
        <is>
          <t>Placa</t>
        </is>
      </c>
      <c r="C1" s="73" t="inlineStr">
        <is>
          <t>Conductor</t>
        </is>
      </c>
      <c r="D1" s="73" t="inlineStr">
        <is>
          <t>Tipo</t>
        </is>
      </c>
      <c r="E1" s="73" t="inlineStr">
        <is>
          <t>Categoría</t>
        </is>
      </c>
      <c r="F1" s="73" t="inlineStr">
        <is>
          <t>Descripción</t>
        </is>
      </c>
      <c r="G1" s="73" t="inlineStr">
        <is>
          <t>Km al momento</t>
        </is>
      </c>
      <c r="H1" s="73" t="inlineStr">
        <is>
          <t>Total</t>
        </is>
      </c>
      <c r="I1" s="73" t="inlineStr">
        <is>
          <t>Mes</t>
        </is>
      </c>
      <c r="J1" s="73" t="inlineStr">
        <is>
          <t>Validación</t>
        </is>
      </c>
    </row>
    <row r="2" ht="23.85" customHeight="1" s="59">
      <c r="A2" s="83" t="n">
        <v>46006</v>
      </c>
      <c r="B2" s="84" t="inlineStr">
        <is>
          <t>UUO-808</t>
        </is>
      </c>
      <c r="C2" s="84" t="inlineStr">
        <is>
          <t>Juan Pablo Bayona Areiza</t>
        </is>
      </c>
      <c r="D2" s="84" t="inlineStr">
        <is>
          <t>Gasto</t>
        </is>
      </c>
      <c r="E2" s="84" t="inlineStr">
        <is>
          <t>Mano de obra</t>
        </is>
      </c>
      <c r="F2" s="85" t="inlineStr">
        <is>
          <t>Se le hace organizar las llantas al vehículo; se le montan las que estan mas buenas</t>
        </is>
      </c>
      <c r="G2" s="86" t="n"/>
      <c r="H2" s="87" t="n">
        <v>-14000</v>
      </c>
      <c r="I2" s="88">
        <f>TEXT(A2,"yyyy-mm")</f>
        <v/>
      </c>
      <c r="J2" s="88">
        <f>IF(D2="","",IF(AND(D2="Ingreso",H2&gt;0),"OK",IF(AND(D2="Gasto",H2&lt;0),"OK","⚠ Revisar signo")))</f>
        <v/>
      </c>
    </row>
    <row r="3" ht="15" customHeight="1" s="59">
      <c r="A3" s="83" t="n">
        <v>46006</v>
      </c>
      <c r="B3" s="84" t="inlineStr">
        <is>
          <t>ADMIN</t>
        </is>
      </c>
      <c r="C3" s="84" t="inlineStr">
        <is>
          <t>Joseph Restrepo</t>
        </is>
      </c>
      <c r="D3" s="84" t="inlineStr">
        <is>
          <t>Gasto</t>
        </is>
      </c>
      <c r="E3" s="84" t="inlineStr">
        <is>
          <t>Gasto administrativo</t>
        </is>
      </c>
      <c r="F3" s="85" t="inlineStr">
        <is>
          <t>Le pago a Joseph el moto taxi hasta la casa de el</t>
        </is>
      </c>
      <c r="G3" s="86" t="n"/>
      <c r="H3" s="87" t="n">
        <v>-14150</v>
      </c>
      <c r="I3" s="88">
        <f>TEXT(A3,"yyyy-mm")</f>
        <v/>
      </c>
      <c r="J3" s="88">
        <f>IF(D3="","",IF(AND(D3="Ingreso",H3&gt;0),"OK",IF(AND(D3="Gasto",H3&lt;0),"OK","⚠ Revisar signo")))</f>
        <v/>
      </c>
    </row>
    <row r="4" ht="15" customHeight="1" s="59">
      <c r="A4" s="83" t="n">
        <v>46007</v>
      </c>
      <c r="B4" s="84" t="inlineStr">
        <is>
          <t>UUO-808</t>
        </is>
      </c>
      <c r="C4" s="84" t="inlineStr">
        <is>
          <t>Juan Pablo Bayona Areiza</t>
        </is>
      </c>
      <c r="D4" s="84" t="inlineStr">
        <is>
          <t>Gasto</t>
        </is>
      </c>
      <c r="E4" s="84" t="inlineStr">
        <is>
          <t>Mantenimiento</t>
        </is>
      </c>
      <c r="F4" s="85" t="inlineStr">
        <is>
          <t>Se hace lavar el vehículo</t>
        </is>
      </c>
      <c r="G4" s="86" t="n"/>
      <c r="H4" s="87" t="n">
        <v>-23000</v>
      </c>
      <c r="I4" s="88">
        <f>TEXT(A4,"yyyy-mm")</f>
        <v/>
      </c>
      <c r="J4" s="88">
        <f>IF(D4="","",IF(AND(D4="Ingreso",H4&gt;0),"OK",IF(AND(D4="Gasto",H4&lt;0),"OK","⚠ Revisar signo")))</f>
        <v/>
      </c>
    </row>
    <row r="5" ht="15" customHeight="1" s="59">
      <c r="A5" s="83" t="n">
        <v>46007</v>
      </c>
      <c r="B5" s="84" t="inlineStr">
        <is>
          <t>UUO-808</t>
        </is>
      </c>
      <c r="C5" s="84" t="inlineStr">
        <is>
          <t>Juan Pablo Bayona Areiza</t>
        </is>
      </c>
      <c r="D5" s="84" t="inlineStr">
        <is>
          <t>Gasto</t>
        </is>
      </c>
      <c r="E5" s="84" t="inlineStr">
        <is>
          <t>Accesorio</t>
        </is>
      </c>
      <c r="F5" s="85" t="inlineStr">
        <is>
          <t>Se le compra la tapa del volante</t>
        </is>
      </c>
      <c r="G5" s="86" t="n"/>
      <c r="H5" s="87" t="n">
        <v>-300000</v>
      </c>
      <c r="I5" s="88">
        <f>TEXT(A5,"yyyy-mm")</f>
        <v/>
      </c>
      <c r="J5" s="88">
        <f>IF(D5="","",IF(AND(D5="Ingreso",H5&gt;0),"OK",IF(AND(D5="Gasto",H5&lt;0),"OK","⚠ Revisar signo")))</f>
        <v/>
      </c>
    </row>
    <row r="6" ht="15" customHeight="1" s="59">
      <c r="A6" s="83" t="n">
        <v>46008</v>
      </c>
      <c r="B6" s="84" t="inlineStr">
        <is>
          <t>UUO-808</t>
        </is>
      </c>
      <c r="C6" s="84" t="inlineStr">
        <is>
          <t>Juan Pablo Bayona Areiza</t>
        </is>
      </c>
      <c r="D6" s="84" t="inlineStr">
        <is>
          <t>Gasto</t>
        </is>
      </c>
      <c r="E6" s="84" t="inlineStr">
        <is>
          <t>Técnico mecánica</t>
        </is>
      </c>
      <c r="F6" s="85" t="inlineStr">
        <is>
          <t>Se realiza la revision tecnico mecanica</t>
        </is>
      </c>
      <c r="G6" s="86" t="n"/>
      <c r="H6" s="87" t="n">
        <v>-363600</v>
      </c>
      <c r="I6" s="88">
        <f>TEXT(A6,"yyyy-mm")</f>
        <v/>
      </c>
      <c r="J6" s="88">
        <f>IF(D6="","",IF(AND(D6="Ingreso",H6&gt;0),"OK",IF(AND(D6="Gasto",H6&lt;0),"OK","⚠ Revisar signo")))</f>
        <v/>
      </c>
    </row>
    <row r="7" ht="15" customHeight="1" s="59">
      <c r="A7" s="83" t="n">
        <v>46009</v>
      </c>
      <c r="B7" s="84" t="inlineStr">
        <is>
          <t>UUO-808</t>
        </is>
      </c>
      <c r="C7" s="84" t="inlineStr">
        <is>
          <t>Juan Pablo Bayona Areiza</t>
        </is>
      </c>
      <c r="D7" s="84" t="inlineStr">
        <is>
          <t>Gasto</t>
        </is>
      </c>
      <c r="E7" s="84" t="inlineStr">
        <is>
          <t>Accesorio</t>
        </is>
      </c>
      <c r="F7" s="85" t="inlineStr">
        <is>
          <t>GPS</t>
        </is>
      </c>
      <c r="G7" s="86" t="n"/>
      <c r="H7" s="87" t="n">
        <v>-340000</v>
      </c>
      <c r="I7" s="88">
        <f>TEXT(A7,"yyyy-mm")</f>
        <v/>
      </c>
      <c r="J7" s="88">
        <f>IF(D7="","",IF(AND(D7="Ingreso",H7&gt;0),"OK",IF(AND(D7="Gasto",H7&lt;0),"OK","⚠ Revisar signo")))</f>
        <v/>
      </c>
    </row>
    <row r="8" ht="15" customHeight="1" s="59">
      <c r="A8" s="83" t="n">
        <v>46009</v>
      </c>
      <c r="B8" s="84" t="inlineStr">
        <is>
          <t>UUO-808</t>
        </is>
      </c>
      <c r="C8" s="84" t="inlineStr">
        <is>
          <t>Juan Pablo Bayona Areiza</t>
        </is>
      </c>
      <c r="D8" s="84" t="inlineStr">
        <is>
          <t>Gasto</t>
        </is>
      </c>
      <c r="E8" s="84" t="inlineStr">
        <is>
          <t>Mantenimiento</t>
        </is>
      </c>
      <c r="F8" s="85" t="inlineStr">
        <is>
          <t>Se hace recargar el aire acondicionado</t>
        </is>
      </c>
      <c r="G8" s="86" t="n"/>
      <c r="H8" s="87" t="n">
        <v>-120000</v>
      </c>
      <c r="I8" s="88">
        <f>TEXT(A8,"yyyy-mm")</f>
        <v/>
      </c>
      <c r="J8" s="88">
        <f>IF(D8="","",IF(AND(D8="Ingreso",H8&gt;0),"OK",IF(AND(D8="Gasto",H8&lt;0),"OK","⚠ Revisar signo")))</f>
        <v/>
      </c>
    </row>
    <row r="9" ht="15" customHeight="1" s="59">
      <c r="A9" s="83" t="n">
        <v>46009</v>
      </c>
      <c r="B9" s="84" t="inlineStr">
        <is>
          <t>UUO-808</t>
        </is>
      </c>
      <c r="C9" s="84" t="inlineStr">
        <is>
          <t>Juan Pablo Bayona Areiza</t>
        </is>
      </c>
      <c r="D9" s="84" t="inlineStr">
        <is>
          <t>Gasto</t>
        </is>
      </c>
      <c r="E9" s="84" t="inlineStr">
        <is>
          <t>Accesorio</t>
        </is>
      </c>
      <c r="F9" s="85" t="inlineStr">
        <is>
          <t>Se hsce polarizar el vehículo</t>
        </is>
      </c>
      <c r="G9" s="86" t="n"/>
      <c r="H9" s="87" t="n">
        <v>-160000</v>
      </c>
      <c r="I9" s="88">
        <f>TEXT(A9,"yyyy-mm")</f>
        <v/>
      </c>
      <c r="J9" s="88">
        <f>IF(D9="","",IF(AND(D9="Ingreso",H9&gt;0),"OK",IF(AND(D9="Gasto",H9&lt;0),"OK","⚠ Revisar signo")))</f>
        <v/>
      </c>
    </row>
    <row r="10" ht="15" customHeight="1" s="59">
      <c r="A10" s="83" t="n">
        <v>46010</v>
      </c>
      <c r="B10" s="84" t="inlineStr">
        <is>
          <t>UUO-808</t>
        </is>
      </c>
      <c r="C10" s="84" t="inlineStr">
        <is>
          <t>Juan Pablo Bayona Areiza</t>
        </is>
      </c>
      <c r="D10" s="84" t="inlineStr">
        <is>
          <t>Gasto</t>
        </is>
      </c>
      <c r="E10" s="84" t="inlineStr">
        <is>
          <t>Accesorio</t>
        </is>
      </c>
      <c r="F10" s="85" t="inlineStr">
        <is>
          <t>Se compran las plumillas</t>
        </is>
      </c>
      <c r="G10" s="86" t="n"/>
      <c r="H10" s="87" t="n">
        <v>-20000</v>
      </c>
      <c r="I10" s="88">
        <f>TEXT(A10,"yyyy-mm")</f>
        <v/>
      </c>
      <c r="J10" s="88">
        <f>IF(D10="","",IF(AND(D10="Ingreso",H10&gt;0),"OK",IF(AND(D10="Gasto",H10&lt;0),"OK","⚠ Revisar signo")))</f>
        <v/>
      </c>
    </row>
    <row r="11" ht="23.85" customHeight="1" s="59">
      <c r="A11" s="83" t="n">
        <v>46010</v>
      </c>
      <c r="B11" s="84" t="inlineStr">
        <is>
          <t>UUO-808</t>
        </is>
      </c>
      <c r="C11" s="84" t="inlineStr">
        <is>
          <t>Juan Pablo Bayona Areiza</t>
        </is>
      </c>
      <c r="D11" s="84" t="inlineStr">
        <is>
          <t>Gasto</t>
        </is>
      </c>
      <c r="E11" s="84" t="inlineStr">
        <is>
          <t>Mano de obra</t>
        </is>
      </c>
      <c r="F11" s="85" t="inlineStr">
        <is>
          <t>Se le arregla el cilindro al vehiculo ya que se partio la llave de otro vehículo adentro</t>
        </is>
      </c>
      <c r="G11" s="86" t="n"/>
      <c r="H11" s="87" t="n">
        <v>-160000</v>
      </c>
      <c r="I11" s="88">
        <f>TEXT(A11,"yyyy-mm")</f>
        <v/>
      </c>
      <c r="J11" s="88">
        <f>IF(D11="","",IF(AND(D11="Ingreso",H11&gt;0),"OK",IF(AND(D11="Gasto",H11&lt;0),"OK","⚠ Revisar signo")))</f>
        <v/>
      </c>
    </row>
    <row r="12" ht="15" customHeight="1" s="59">
      <c r="A12" s="83" t="n">
        <v>46010</v>
      </c>
      <c r="B12" s="84" t="inlineStr">
        <is>
          <t>UUO-808</t>
        </is>
      </c>
      <c r="C12" s="84" t="inlineStr">
        <is>
          <t>Juan Pablo Bayona Areiza</t>
        </is>
      </c>
      <c r="D12" s="84" t="inlineStr">
        <is>
          <t>Gasto</t>
        </is>
      </c>
      <c r="E12" s="84" t="inlineStr">
        <is>
          <t>Mantenimiento</t>
        </is>
      </c>
      <c r="F12" s="85" t="inlineStr">
        <is>
          <t>Se hace alinear el vehículo</t>
        </is>
      </c>
      <c r="G12" s="86" t="n"/>
      <c r="H12" s="87" t="n">
        <v>-70000</v>
      </c>
      <c r="I12" s="88">
        <f>TEXT(A12,"yyyy-mm")</f>
        <v/>
      </c>
      <c r="J12" s="88">
        <f>IF(D12="","",IF(AND(D12="Ingreso",H12&gt;0),"OK",IF(AND(D12="Gasto",H12&lt;0),"OK","⚠ Revisar signo")))</f>
        <v/>
      </c>
    </row>
    <row r="13" ht="15" customHeight="1" s="59">
      <c r="A13" s="83" t="n">
        <v>46010</v>
      </c>
      <c r="B13" s="84" t="inlineStr">
        <is>
          <t>UUO-808</t>
        </is>
      </c>
      <c r="C13" s="84" t="inlineStr">
        <is>
          <t>Juan Pablo Bayona Areiza</t>
        </is>
      </c>
      <c r="D13" s="84" t="inlineStr">
        <is>
          <t>Gasto</t>
        </is>
      </c>
      <c r="E13" s="84" t="inlineStr">
        <is>
          <t>Gasto administrativo</t>
        </is>
      </c>
      <c r="F13" s="85" t="inlineStr">
        <is>
          <t>Se le echa gasolina al vehículo para poderlo entregar</t>
        </is>
      </c>
      <c r="G13" s="86" t="n"/>
      <c r="H13" s="87" t="n">
        <v>-20000</v>
      </c>
      <c r="I13" s="88">
        <f>TEXT(A13,"yyyy-mm")</f>
        <v/>
      </c>
      <c r="J13" s="88">
        <f>IF(D13="","",IF(AND(D13="Ingreso",H13&gt;0),"OK",IF(AND(D13="Gasto",H13&lt;0),"OK","⚠ Revisar signo")))</f>
        <v/>
      </c>
    </row>
    <row r="14" ht="35.05" customHeight="1" s="59">
      <c r="A14" s="83" t="n">
        <v>46010</v>
      </c>
      <c r="B14" s="84" t="inlineStr">
        <is>
          <t>ADMIN</t>
        </is>
      </c>
      <c r="C14" s="84" t="inlineStr">
        <is>
          <t>Joseph Restrepo</t>
        </is>
      </c>
      <c r="D14" s="84" t="inlineStr">
        <is>
          <t>Ingreso</t>
        </is>
      </c>
      <c r="E14" s="84" t="inlineStr">
        <is>
          <t>Ingreso administrativo</t>
        </is>
      </c>
      <c r="F14" s="85" t="inlineStr">
        <is>
          <t>Joseph me paga este dinero de todos los arreglos que se le hicieron hasta el momento. (Se queda debiendo la mano de obra del taller y también un arreglo de culata que se le hace al vehiculo)</t>
        </is>
      </c>
      <c r="G14" s="86" t="n"/>
      <c r="H14" s="87" t="n">
        <v>1604750</v>
      </c>
      <c r="I14" s="88">
        <f>TEXT(A14,"yyyy-mm")</f>
        <v/>
      </c>
      <c r="J14" s="88">
        <f>IF(D14="","",IF(AND(D14="Ingreso",H14&gt;0),"OK",IF(AND(D14="Gasto",H14&lt;0),"OK","⚠ Revisar signo")))</f>
        <v/>
      </c>
    </row>
    <row r="15" ht="15" customHeight="1" s="59">
      <c r="A15" s="83" t="n">
        <v>46017</v>
      </c>
      <c r="B15" s="84" t="inlineStr">
        <is>
          <t>UUO-808</t>
        </is>
      </c>
      <c r="C15" s="84" t="inlineStr">
        <is>
          <t>Juan Pablo Bayona Areiza</t>
        </is>
      </c>
      <c r="D15" s="84" t="inlineStr">
        <is>
          <t>Gasto</t>
        </is>
      </c>
      <c r="E15" s="84" t="inlineStr">
        <is>
          <t>Repuesto</t>
        </is>
      </c>
      <c r="F15" s="85" t="inlineStr">
        <is>
          <t>Compro las 4 bujias</t>
        </is>
      </c>
      <c r="G15" s="86" t="n"/>
      <c r="H15" s="87" t="n">
        <v>-114000</v>
      </c>
      <c r="I15" s="88">
        <f>TEXT(A15,"yyyy-mm")</f>
        <v/>
      </c>
      <c r="J15" s="88">
        <f>IF(D15="","",IF(AND(D15="Ingreso",H15&gt;0),"OK",IF(AND(D15="Gasto",H15&lt;0),"OK","⚠ Revisar signo")))</f>
        <v/>
      </c>
    </row>
    <row r="16" ht="15" customHeight="1" s="59">
      <c r="A16" s="83" t="n">
        <v>46017</v>
      </c>
      <c r="B16" s="84" t="inlineStr">
        <is>
          <t>UUO-808</t>
        </is>
      </c>
      <c r="C16" s="84" t="inlineStr">
        <is>
          <t>Juan Pablo Bayona Areiza</t>
        </is>
      </c>
      <c r="D16" s="84" t="inlineStr">
        <is>
          <t>Gasto</t>
        </is>
      </c>
      <c r="E16" s="84" t="inlineStr">
        <is>
          <t>Repuesto</t>
        </is>
      </c>
      <c r="F16" s="85" t="inlineStr">
        <is>
          <t>Compro el filtro de aceite de motor</t>
        </is>
      </c>
      <c r="G16" s="86" t="n"/>
      <c r="H16" s="87" t="n">
        <v>-14000</v>
      </c>
      <c r="I16" s="88">
        <f>TEXT(A16,"yyyy-mm")</f>
        <v/>
      </c>
      <c r="J16" s="88">
        <f>IF(D16="","",IF(AND(D16="Ingreso",H16&gt;0),"OK",IF(AND(D16="Gasto",H16&lt;0),"OK","⚠ Revisar signo")))</f>
        <v/>
      </c>
    </row>
    <row r="17" ht="15" customHeight="1" s="59">
      <c r="A17" s="83" t="n">
        <v>46021</v>
      </c>
      <c r="B17" s="84" t="inlineStr">
        <is>
          <t>UUO-808</t>
        </is>
      </c>
      <c r="C17" s="84" t="inlineStr">
        <is>
          <t>Juan Pablo Bayona Areiza</t>
        </is>
      </c>
      <c r="D17" s="84" t="inlineStr">
        <is>
          <t>Gasto</t>
        </is>
      </c>
      <c r="E17" s="84" t="inlineStr">
        <is>
          <t>Repuesto</t>
        </is>
      </c>
      <c r="F17" s="85" t="inlineStr">
        <is>
          <t>Se le compra el empaque de multiple de escape</t>
        </is>
      </c>
      <c r="G17" s="86" t="n"/>
      <c r="H17" s="87" t="n">
        <v>-30000</v>
      </c>
      <c r="I17" s="88">
        <f>TEXT(A17,"yyyy-mm")</f>
        <v/>
      </c>
      <c r="J17" s="88">
        <f>IF(D17="","",IF(AND(D17="Ingreso",H17&gt;0),"OK",IF(AND(D17="Gasto",H17&lt;0),"OK","⚠ Revisar signo")))</f>
        <v/>
      </c>
    </row>
    <row r="18" ht="15" customHeight="1" s="59">
      <c r="A18" s="83" t="n">
        <v>46022</v>
      </c>
      <c r="B18" s="84" t="inlineStr">
        <is>
          <t>UUO-808</t>
        </is>
      </c>
      <c r="C18" s="84" t="inlineStr">
        <is>
          <t>Juan Pablo Bayona Areiza</t>
        </is>
      </c>
      <c r="D18" s="84" t="inlineStr">
        <is>
          <t>Gasto</t>
        </is>
      </c>
      <c r="E18" s="84" t="inlineStr">
        <is>
          <t>Repuesto</t>
        </is>
      </c>
      <c r="F18" s="85" t="inlineStr">
        <is>
          <t>Compro unas abrazaderas que se necesitaban para organizar el carter</t>
        </is>
      </c>
      <c r="G18" s="86" t="n"/>
      <c r="H18" s="87" t="n">
        <v>-2000</v>
      </c>
      <c r="I18" s="88">
        <f>TEXT(A18,"yyyy-mm")</f>
        <v/>
      </c>
      <c r="J18" s="88">
        <f>IF(D18="","",IF(AND(D18="Ingreso",H18&gt;0),"OK",IF(AND(D18="Gasto",H18&lt;0),"OK","⚠ Revisar signo")))</f>
        <v/>
      </c>
    </row>
    <row r="19" ht="15" customHeight="1" s="59">
      <c r="A19" s="83" t="n">
        <v>46030</v>
      </c>
      <c r="B19" s="84" t="inlineStr">
        <is>
          <t>UUO-808</t>
        </is>
      </c>
      <c r="C19" s="84" t="inlineStr">
        <is>
          <t>Otros conductores</t>
        </is>
      </c>
      <c r="D19" s="84" t="inlineStr">
        <is>
          <t>Ingreso</t>
        </is>
      </c>
      <c r="E19" s="84" t="inlineStr">
        <is>
          <t>Liquidación</t>
        </is>
      </c>
      <c r="F19" s="85" t="inlineStr">
        <is>
          <t>El conductor da este dinero pagando los dias 08 y 09 de enero</t>
        </is>
      </c>
      <c r="G19" s="86" t="n"/>
      <c r="H19" s="87" t="n">
        <v>160000</v>
      </c>
      <c r="I19" s="88">
        <f>TEXT(A19,"yyyy-mm")</f>
        <v/>
      </c>
      <c r="J19" s="88">
        <f>IF(D19="","",IF(AND(D19="Ingreso",H19&gt;0),"OK",IF(AND(D19="Gasto",H19&lt;0),"OK","⚠ Revisar signo")))</f>
        <v/>
      </c>
    </row>
    <row r="20" ht="15" customHeight="1" s="59">
      <c r="A20" s="83" t="n">
        <v>46030</v>
      </c>
      <c r="B20" s="84" t="inlineStr">
        <is>
          <t>UUO-808</t>
        </is>
      </c>
      <c r="C20" s="84" t="inlineStr">
        <is>
          <t>Otros conductores</t>
        </is>
      </c>
      <c r="D20" s="84" t="inlineStr">
        <is>
          <t>Gasto</t>
        </is>
      </c>
      <c r="E20" s="84" t="inlineStr">
        <is>
          <t>Accesorio</t>
        </is>
      </c>
      <c r="F20" s="85" t="inlineStr">
        <is>
          <t>Se le compra el bombillo del stop trasero</t>
        </is>
      </c>
      <c r="G20" s="86" t="n"/>
      <c r="H20" s="87" t="n">
        <v>-10000</v>
      </c>
      <c r="I20" s="88">
        <f>TEXT(A20,"yyyy-mm")</f>
        <v/>
      </c>
      <c r="J20" s="88">
        <f>IF(D20="","",IF(AND(D20="Ingreso",H20&gt;0),"OK",IF(AND(D20="Gasto",H20&lt;0),"OK","⚠ Revisar signo")))</f>
        <v/>
      </c>
    </row>
    <row r="21" ht="15" customHeight="1" s="59">
      <c r="A21" s="83" t="n">
        <v>46030</v>
      </c>
      <c r="B21" s="84" t="inlineStr">
        <is>
          <t>UUO-808</t>
        </is>
      </c>
      <c r="C21" s="84" t="inlineStr">
        <is>
          <t>Otros conductores</t>
        </is>
      </c>
      <c r="D21" s="84" t="inlineStr">
        <is>
          <t>Gasto</t>
        </is>
      </c>
      <c r="E21" s="84" t="inlineStr">
        <is>
          <t>Accesorio</t>
        </is>
      </c>
      <c r="F21" s="85" t="inlineStr">
        <is>
          <t>Se compra el bombillo blanco de la reversa</t>
        </is>
      </c>
      <c r="G21" s="86" t="n"/>
      <c r="H21" s="87" t="n">
        <v>-2000</v>
      </c>
      <c r="I21" s="88">
        <f>TEXT(A21,"yyyy-mm")</f>
        <v/>
      </c>
      <c r="J21" s="88">
        <f>IF(D21="","",IF(AND(D21="Ingreso",H21&gt;0),"OK",IF(AND(D21="Gasto",H21&lt;0),"OK","⚠ Revisar signo")))</f>
        <v/>
      </c>
    </row>
    <row r="22" ht="15" customHeight="1" s="59">
      <c r="A22" s="83" t="n">
        <v>46030</v>
      </c>
      <c r="B22" s="84" t="inlineStr">
        <is>
          <t>UUO-808</t>
        </is>
      </c>
      <c r="C22" s="84" t="inlineStr">
        <is>
          <t>Otros conductores</t>
        </is>
      </c>
      <c r="D22" s="84" t="inlineStr">
        <is>
          <t>Gasto</t>
        </is>
      </c>
      <c r="E22" s="84" t="inlineStr">
        <is>
          <t>Accesorio</t>
        </is>
      </c>
      <c r="F22" s="85" t="inlineStr">
        <is>
          <t>Se compra bombillo H8 para la exploradora</t>
        </is>
      </c>
      <c r="G22" s="86" t="n"/>
      <c r="H22" s="87" t="n">
        <v>-40000</v>
      </c>
      <c r="I22" s="88">
        <f>TEXT(A22,"yyyy-mm")</f>
        <v/>
      </c>
      <c r="J22" s="88">
        <f>IF(D22="","",IF(AND(D22="Ingreso",H22&gt;0),"OK",IF(AND(D22="Gasto",H22&lt;0),"OK","⚠ Revisar signo")))</f>
        <v/>
      </c>
    </row>
    <row r="23" ht="15" customHeight="1" s="59">
      <c r="A23" s="83" t="n">
        <v>46030</v>
      </c>
      <c r="B23" s="84" t="inlineStr">
        <is>
          <t>UUO-808</t>
        </is>
      </c>
      <c r="C23" s="84" t="inlineStr">
        <is>
          <t>Otros conductores</t>
        </is>
      </c>
      <c r="D23" s="84" t="inlineStr">
        <is>
          <t>Gasto</t>
        </is>
      </c>
      <c r="E23" s="84" t="inlineStr">
        <is>
          <t>Accesorio</t>
        </is>
      </c>
      <c r="F23" s="85" t="inlineStr">
        <is>
          <t>Se le compran las plumillas del vehiculo</t>
        </is>
      </c>
      <c r="G23" s="86" t="n"/>
      <c r="H23" s="87" t="n">
        <v>-20000</v>
      </c>
      <c r="I23" s="88">
        <f>TEXT(A23,"yyyy-mm")</f>
        <v/>
      </c>
      <c r="J23" s="88">
        <f>IF(D23="","",IF(AND(D23="Ingreso",H23&gt;0),"OK",IF(AND(D23="Gasto",H23&lt;0),"OK","⚠ Revisar signo")))</f>
        <v/>
      </c>
    </row>
    <row r="24" ht="15" customHeight="1" s="59">
      <c r="A24" s="83" t="n">
        <v>46030</v>
      </c>
      <c r="B24" s="84" t="inlineStr">
        <is>
          <t>UUO-808</t>
        </is>
      </c>
      <c r="C24" s="84" t="inlineStr">
        <is>
          <t>Otros conductores</t>
        </is>
      </c>
      <c r="D24" s="84" t="inlineStr">
        <is>
          <t>Gasto</t>
        </is>
      </c>
      <c r="E24" s="84" t="inlineStr">
        <is>
          <t>Gasto administrativo</t>
        </is>
      </c>
      <c r="F24" s="85" t="inlineStr">
        <is>
          <t>Se manda a lavar el vehiculo para entregarlo lavado</t>
        </is>
      </c>
      <c r="G24" s="86" t="n"/>
      <c r="H24" s="87" t="n">
        <v>-22000</v>
      </c>
      <c r="I24" s="88">
        <f>TEXT(A24,"yyyy-mm")</f>
        <v/>
      </c>
      <c r="J24" s="88">
        <f>IF(D24="","",IF(AND(D24="Ingreso",H24&gt;0),"OK",IF(AND(D24="Gasto",H24&lt;0),"OK","⚠ Revisar signo")))</f>
        <v/>
      </c>
    </row>
    <row r="25" ht="15" customHeight="1" s="59">
      <c r="A25" s="83" t="n">
        <v>46030</v>
      </c>
      <c r="B25" s="84" t="inlineStr">
        <is>
          <t>UUO-808</t>
        </is>
      </c>
      <c r="C25" s="84" t="inlineStr">
        <is>
          <t>Otros conductores</t>
        </is>
      </c>
      <c r="D25" s="84" t="inlineStr">
        <is>
          <t>Gasto</t>
        </is>
      </c>
      <c r="E25" s="84" t="inlineStr">
        <is>
          <t>Mano de obra</t>
        </is>
      </c>
      <c r="F25" s="85" t="inlineStr">
        <is>
          <t>Se paga mano de obra del cambio de los bombillos</t>
        </is>
      </c>
      <c r="G25" s="86" t="n"/>
      <c r="H25" s="87" t="n">
        <v>-6000</v>
      </c>
      <c r="I25" s="88">
        <f>TEXT(A25,"yyyy-mm")</f>
        <v/>
      </c>
      <c r="J25" s="88">
        <f>IF(D25="","",IF(AND(D25="Ingreso",H25&gt;0),"OK",IF(AND(D25="Gasto",H25&lt;0),"OK","⚠ Revisar signo")))</f>
        <v/>
      </c>
    </row>
    <row r="26" ht="15" customHeight="1" s="59">
      <c r="A26" s="83" t="n">
        <v>46030</v>
      </c>
      <c r="B26" s="84" t="inlineStr">
        <is>
          <t>UUO-808</t>
        </is>
      </c>
      <c r="C26" s="84" t="inlineStr">
        <is>
          <t>Otros conductores</t>
        </is>
      </c>
      <c r="D26" s="84" t="inlineStr">
        <is>
          <t>Gasto</t>
        </is>
      </c>
      <c r="E26" s="84" t="inlineStr">
        <is>
          <t>Gasto administrativo</t>
        </is>
      </c>
      <c r="F26" s="85" t="inlineStr">
        <is>
          <t>Se compra gasolina para echarle al vehículo ya que estaba en reserva</t>
        </is>
      </c>
      <c r="G26" s="86" t="n"/>
      <c r="H26" s="87" t="n">
        <v>-10000</v>
      </c>
      <c r="I26" s="88">
        <f>TEXT(A26,"yyyy-mm")</f>
        <v/>
      </c>
      <c r="J26" s="88">
        <f>IF(D26="","",IF(AND(D26="Ingreso",H26&gt;0),"OK",IF(AND(D26="Gasto",H26&lt;0),"OK","⚠ Revisar signo")))</f>
        <v/>
      </c>
    </row>
    <row r="27" ht="15" customHeight="1" s="59">
      <c r="A27" s="83" t="n">
        <v>46030</v>
      </c>
      <c r="B27" s="84" t="inlineStr">
        <is>
          <t>UUO-808</t>
        </is>
      </c>
      <c r="C27" s="84" t="inlineStr">
        <is>
          <t>Otros conductores</t>
        </is>
      </c>
      <c r="D27" s="84" t="inlineStr">
        <is>
          <t>Gasto</t>
        </is>
      </c>
      <c r="E27" s="84" t="inlineStr">
        <is>
          <t>Accesorio</t>
        </is>
      </c>
      <c r="F27" s="85" t="inlineStr">
        <is>
          <t>Se le compra el kit de carretera al vehículo</t>
        </is>
      </c>
      <c r="G27" s="86" t="n"/>
      <c r="H27" s="87" t="n">
        <v>-110000</v>
      </c>
      <c r="I27" s="88">
        <f>TEXT(A27,"yyyy-mm")</f>
        <v/>
      </c>
      <c r="J27" s="88">
        <f>IF(D27="","",IF(AND(D27="Ingreso",H27&gt;0),"OK",IF(AND(D27="Gasto",H27&lt;0),"OK","⚠ Revisar signo")))</f>
        <v/>
      </c>
    </row>
    <row r="28" ht="46.25" customHeight="1" s="59">
      <c r="A28" s="83" t="n">
        <v>46032</v>
      </c>
      <c r="B28" s="84" t="inlineStr">
        <is>
          <t>UUO-808</t>
        </is>
      </c>
      <c r="C28" s="84" t="inlineStr">
        <is>
          <t>Juan Pablo Bayona Areiza</t>
        </is>
      </c>
      <c r="D28" s="84" t="inlineStr">
        <is>
          <t>Gasto</t>
        </is>
      </c>
      <c r="E28" s="84" t="inlineStr">
        <is>
          <t>Gasto administrativo</t>
        </is>
      </c>
      <c r="F28" s="85" t="inlineStr">
        <is>
          <t>Se realiza la devolucion del dinero que dio el conductor ya que este correspondio rescatarlo ya que el conductor fue irresponsable y se decidio quitarle el carro; el dinero se le quito porque estaba poniendo mucho problema y fue lo mejor</t>
        </is>
      </c>
      <c r="G28" s="86" t="n"/>
      <c r="H28" s="87" t="n">
        <v>-160000</v>
      </c>
      <c r="I28" s="88">
        <f>TEXT(A28,"yyyy-mm")</f>
        <v/>
      </c>
      <c r="J28" s="88">
        <f>IF(D28="","",IF(AND(D28="Ingreso",H28&gt;0),"OK",IF(AND(D28="Gasto",H28&lt;0),"OK","⚠ Revisar signo")))</f>
        <v/>
      </c>
    </row>
    <row r="29" ht="15" customHeight="1" s="59">
      <c r="A29" s="83" t="n">
        <v>46032</v>
      </c>
      <c r="B29" s="84" t="inlineStr">
        <is>
          <t>UUO-808</t>
        </is>
      </c>
      <c r="C29" s="84" t="inlineStr">
        <is>
          <t>Otros conductores</t>
        </is>
      </c>
      <c r="D29" s="84" t="inlineStr">
        <is>
          <t>Ingreso</t>
        </is>
      </c>
      <c r="E29" s="84" t="inlineStr">
        <is>
          <t>Liquidación</t>
        </is>
      </c>
      <c r="F29" s="85" t="inlineStr">
        <is>
          <t>El conductor paga los dias 11, 12 y 13 de enero</t>
        </is>
      </c>
      <c r="G29" s="86" t="n"/>
      <c r="H29" s="87" t="n">
        <v>240000</v>
      </c>
      <c r="I29" s="88">
        <f>TEXT(A29,"yyyy-mm")</f>
        <v/>
      </c>
      <c r="J29" s="88">
        <f>IF(D29="","",IF(AND(D29="Ingreso",H29&gt;0),"OK",IF(AND(D29="Gasto",H29&lt;0),"OK","⚠ Revisar signo")))</f>
        <v/>
      </c>
    </row>
    <row r="30" ht="15" customHeight="1" s="59">
      <c r="A30" s="83" t="n">
        <v>46036</v>
      </c>
      <c r="B30" s="84" t="inlineStr">
        <is>
          <t>UUO-808</t>
        </is>
      </c>
      <c r="C30" s="84" t="inlineStr">
        <is>
          <t>Otros conductores</t>
        </is>
      </c>
      <c r="D30" s="84" t="inlineStr">
        <is>
          <t>Ingreso</t>
        </is>
      </c>
      <c r="E30" s="84" t="inlineStr">
        <is>
          <t>Liquidación</t>
        </is>
      </c>
      <c r="F30" s="85" t="inlineStr">
        <is>
          <t>Liquidación semana del 14 al 20 de enero (69,220 km)</t>
        </is>
      </c>
      <c r="G30" s="86" t="n"/>
      <c r="H30" s="87" t="n">
        <v>480000</v>
      </c>
      <c r="I30" s="88">
        <f>TEXT(A30,"yyyy-mm")</f>
        <v/>
      </c>
      <c r="J30" s="88">
        <f>IF(D30="","",IF(AND(D30="Ingreso",H30&gt;0),"OK",IF(AND(D30="Gasto",H30&lt;0),"OK","⚠ Revisar signo")))</f>
        <v/>
      </c>
    </row>
    <row r="31" ht="15" customHeight="1" s="59">
      <c r="A31" s="83" t="n">
        <v>46036</v>
      </c>
      <c r="B31" s="84" t="inlineStr">
        <is>
          <t>UUO-808</t>
        </is>
      </c>
      <c r="C31" s="84" t="inlineStr">
        <is>
          <t>Juan Pablo Bayona Areiza</t>
        </is>
      </c>
      <c r="D31" s="84" t="inlineStr">
        <is>
          <t>Gasto</t>
        </is>
      </c>
      <c r="E31" s="84" t="inlineStr">
        <is>
          <t>Gasto administrativo</t>
        </is>
      </c>
      <c r="F31" s="85" t="inlineStr">
        <is>
          <t>Se paga administrtación de la semana del 14 al 20 de enero</t>
        </is>
      </c>
      <c r="G31" s="86" t="n"/>
      <c r="H31" s="87" t="n">
        <v>-154080</v>
      </c>
      <c r="I31" s="88">
        <f>TEXT(A31,"yyyy-mm")</f>
        <v/>
      </c>
      <c r="J31" s="88">
        <f>IF(D31="","",IF(AND(D31="Ingreso",H31&gt;0),"OK",IF(AND(D31="Gasto",H31&lt;0),"OK","⚠ Revisar signo")))</f>
        <v/>
      </c>
    </row>
    <row r="32" ht="15" customHeight="1" s="59">
      <c r="A32" s="83" t="n">
        <v>46042</v>
      </c>
      <c r="B32" s="84" t="inlineStr">
        <is>
          <t>UUO-808</t>
        </is>
      </c>
      <c r="C32" s="84" t="inlineStr">
        <is>
          <t>Juan Pablo Bayona Areiza</t>
        </is>
      </c>
      <c r="D32" s="84" t="inlineStr">
        <is>
          <t>Gasto</t>
        </is>
      </c>
      <c r="E32" s="84" t="inlineStr">
        <is>
          <t>Mano de obra</t>
        </is>
      </c>
      <c r="F32" s="85" t="inlineStr">
        <is>
          <t>Se paga en la rectificadora la cepillada de la culata</t>
        </is>
      </c>
      <c r="G32" s="86" t="n"/>
      <c r="H32" s="87" t="n">
        <v>-1310000</v>
      </c>
      <c r="I32" s="88">
        <f>TEXT(A32,"yyyy-mm")</f>
        <v/>
      </c>
      <c r="J32" s="88">
        <f>IF(D32="","",IF(AND(D32="Ingreso",H32&gt;0),"OK",IF(AND(D32="Gasto",H32&lt;0),"OK","⚠ Revisar signo")))</f>
        <v/>
      </c>
    </row>
    <row r="33" ht="15" customHeight="1" s="59">
      <c r="A33" s="83" t="n">
        <v>46042</v>
      </c>
      <c r="B33" s="84" t="inlineStr">
        <is>
          <t>UUO-808</t>
        </is>
      </c>
      <c r="C33" s="84" t="inlineStr">
        <is>
          <t>Juan Pablo Bayona Areiza</t>
        </is>
      </c>
      <c r="D33" s="84" t="inlineStr">
        <is>
          <t>Gasto</t>
        </is>
      </c>
      <c r="E33" s="84" t="inlineStr">
        <is>
          <t>Repuesto</t>
        </is>
      </c>
      <c r="F33" s="85" t="inlineStr">
        <is>
          <t>Anillos del motor STD</t>
        </is>
      </c>
      <c r="G33" s="86" t="n"/>
      <c r="H33" s="87" t="n">
        <v>-170000</v>
      </c>
      <c r="I33" s="88">
        <f>TEXT(A33,"yyyy-mm")</f>
        <v/>
      </c>
      <c r="J33" s="88">
        <f>IF(D33="","",IF(AND(D33="Ingreso",H33&gt;0),"OK",IF(AND(D33="Gasto",H33&lt;0),"OK","⚠ Revisar signo")))</f>
        <v/>
      </c>
    </row>
    <row r="34" ht="15" customHeight="1" s="59">
      <c r="A34" s="83" t="n">
        <v>46043</v>
      </c>
      <c r="B34" s="84" t="inlineStr">
        <is>
          <t>UUO-808</t>
        </is>
      </c>
      <c r="C34" s="84" t="inlineStr">
        <is>
          <t>Otros conductores</t>
        </is>
      </c>
      <c r="D34" s="84" t="inlineStr">
        <is>
          <t>Ingreso</t>
        </is>
      </c>
      <c r="E34" s="84" t="inlineStr">
        <is>
          <t>Liquidación</t>
        </is>
      </c>
      <c r="F34" s="85" t="inlineStr">
        <is>
          <t>Liquidación semana del 21 al 27 de enero (69,790 km)</t>
        </is>
      </c>
      <c r="G34" s="86" t="n"/>
      <c r="H34" s="87" t="n">
        <v>550000</v>
      </c>
      <c r="I34" s="88">
        <f>TEXT(A34,"yyyy-mm")</f>
        <v/>
      </c>
      <c r="J34" s="88">
        <f>IF(D34="","",IF(AND(D34="Ingreso",H34&gt;0),"OK",IF(AND(D34="Gasto",H34&lt;0),"OK","⚠ Revisar signo")))</f>
        <v/>
      </c>
    </row>
    <row r="35" ht="15" customHeight="1" s="59">
      <c r="A35" s="83" t="n">
        <v>46043</v>
      </c>
      <c r="B35" s="84" t="inlineStr">
        <is>
          <t>UUO-808</t>
        </is>
      </c>
      <c r="C35" s="84" t="inlineStr">
        <is>
          <t>Juan Pablo Bayona Areiza</t>
        </is>
      </c>
      <c r="D35" s="84" t="inlineStr">
        <is>
          <t>Gasto</t>
        </is>
      </c>
      <c r="E35" s="84" t="inlineStr">
        <is>
          <t>Gasto administrativo</t>
        </is>
      </c>
      <c r="F35" s="85" t="inlineStr">
        <is>
          <t>Se paga administrtación de la semana del 21 al 27 de enero</t>
        </is>
      </c>
      <c r="G35" s="86" t="n"/>
      <c r="H35" s="87" t="n">
        <v>-117700</v>
      </c>
      <c r="I35" s="88">
        <f>TEXT(A35,"yyyy-mm")</f>
        <v/>
      </c>
      <c r="J35" s="88">
        <f>IF(D35="","",IF(AND(D35="Ingreso",H35&gt;0),"OK",IF(AND(D35="Gasto",H35&lt;0),"OK","⚠ Revisar signo")))</f>
        <v/>
      </c>
    </row>
    <row r="36" ht="15" customHeight="1" s="59">
      <c r="A36" s="83" t="n">
        <v>46050</v>
      </c>
      <c r="B36" s="84" t="inlineStr">
        <is>
          <t>UUO-808</t>
        </is>
      </c>
      <c r="C36" s="84" t="n"/>
      <c r="D36" s="84" t="inlineStr">
        <is>
          <t>Ingreso</t>
        </is>
      </c>
      <c r="E36" s="84" t="inlineStr">
        <is>
          <t>Liquidación</t>
        </is>
      </c>
      <c r="F36" s="85" t="inlineStr">
        <is>
          <t>Liquidación dias 31, 01, 02 y 03 de febrero</t>
        </is>
      </c>
      <c r="G36" s="86" t="n"/>
      <c r="H36" s="87" t="n">
        <v>320000</v>
      </c>
      <c r="I36" s="88">
        <f>TEXT(A36,"yyyy-mm")</f>
        <v/>
      </c>
      <c r="J36" s="88">
        <f>IF(D36="","",IF(AND(D36="Ingreso",H36&gt;0),"OK",IF(AND(D36="Gasto",H36&lt;0),"OK","⚠ Revisar signo")))</f>
        <v/>
      </c>
    </row>
    <row r="37" ht="15" customHeight="1" s="59">
      <c r="A37" s="83" t="n">
        <v>46050</v>
      </c>
      <c r="B37" s="84" t="inlineStr">
        <is>
          <t>UUO-808</t>
        </is>
      </c>
      <c r="C37" s="84" t="inlineStr">
        <is>
          <t>Juan Pablo Bayona Areiza</t>
        </is>
      </c>
      <c r="D37" s="84" t="inlineStr">
        <is>
          <t>Gasto</t>
        </is>
      </c>
      <c r="E37" s="84" t="inlineStr">
        <is>
          <t>Gasto administrativo</t>
        </is>
      </c>
      <c r="F37" s="85" t="inlineStr">
        <is>
          <t>Se paga administrtación de los dias 31, 01, 02 y 03 de febrero</t>
        </is>
      </c>
      <c r="G37" s="86" t="n"/>
      <c r="H37" s="87" t="n">
        <v>-68480</v>
      </c>
      <c r="I37" s="88">
        <f>TEXT(A37,"yyyy-mm")</f>
        <v/>
      </c>
      <c r="J37" s="88">
        <f>IF(D37="","",IF(AND(D37="Ingreso",H37&gt;0),"OK",IF(AND(D37="Gasto",H37&lt;0),"OK","⚠ Revisar signo")))</f>
        <v/>
      </c>
    </row>
    <row r="38" ht="35.05" customHeight="1" s="59">
      <c r="A38" s="83" t="n">
        <v>46050</v>
      </c>
      <c r="B38" s="84" t="inlineStr">
        <is>
          <t>UUO-808</t>
        </is>
      </c>
      <c r="C38" s="84" t="inlineStr">
        <is>
          <t>Otros conductores</t>
        </is>
      </c>
      <c r="D38" s="84" t="inlineStr">
        <is>
          <t>Gasto</t>
        </is>
      </c>
      <c r="E38" s="84" t="inlineStr">
        <is>
          <t>Mano de obra</t>
        </is>
      </c>
      <c r="F38" s="85" t="inlineStr">
        <is>
          <t>Se paga el arreglo del aire acondicionado; se le organiza el sistema electrico porque estaba haciendo un corto y no enviaba corriente al compresor del aire</t>
        </is>
      </c>
      <c r="G38" s="86" t="n"/>
      <c r="H38" s="87" t="n">
        <v>-190000</v>
      </c>
      <c r="I38" s="88">
        <f>TEXT(A38,"yyyy-mm")</f>
        <v/>
      </c>
      <c r="J38" s="88">
        <f>IF(D38="","",IF(AND(D38="Ingreso",H38&gt;0),"OK",IF(AND(D38="Gasto",H38&lt;0),"OK","⚠ Revisar signo")))</f>
        <v/>
      </c>
    </row>
    <row r="39" ht="23.85" customHeight="1" s="59">
      <c r="A39" s="83" t="n">
        <v>46051</v>
      </c>
      <c r="B39" s="84" t="inlineStr">
        <is>
          <t>UUO-808</t>
        </is>
      </c>
      <c r="C39" s="84" t="inlineStr">
        <is>
          <t>Juan Pablo Bayona Areiza</t>
        </is>
      </c>
      <c r="D39" s="84" t="inlineStr">
        <is>
          <t>Gasto</t>
        </is>
      </c>
      <c r="E39" s="84" t="inlineStr">
        <is>
          <t>Repuesto</t>
        </is>
      </c>
      <c r="F39" s="85" t="inlineStr">
        <is>
          <t>Compro las tijeras del vehiculo porque una se doblo y la otra ya tenia el buje y la esfera mala</t>
        </is>
      </c>
      <c r="G39" s="86" t="n"/>
      <c r="H39" s="87" t="n">
        <v>-250000</v>
      </c>
      <c r="I39" s="88">
        <f>TEXT(A39,"yyyy-mm")</f>
        <v/>
      </c>
      <c r="J39" s="88">
        <f>IF(D39="","",IF(AND(D39="Ingreso",H39&gt;0),"OK",IF(AND(D39="Gasto",H39&lt;0),"OK","⚠ Revisar signo")))</f>
        <v/>
      </c>
    </row>
    <row r="40" ht="15" customHeight="1" s="59">
      <c r="A40" s="83" t="n">
        <v>46060</v>
      </c>
      <c r="B40" s="84" t="inlineStr">
        <is>
          <t>UUO-808</t>
        </is>
      </c>
      <c r="C40" s="84" t="n"/>
      <c r="D40" s="84" t="inlineStr">
        <is>
          <t>Ingreso</t>
        </is>
      </c>
      <c r="E40" s="84" t="inlineStr">
        <is>
          <t>Liquidación</t>
        </is>
      </c>
      <c r="F40" s="85" t="inlineStr">
        <is>
          <t>Liquidación semana del 03 al 09 de febrero ( km)</t>
        </is>
      </c>
      <c r="G40" s="86" t="n"/>
      <c r="H40" s="87" t="n">
        <v>480000</v>
      </c>
      <c r="I40" s="88">
        <f>TEXT(A40,"yyyy-mm")</f>
        <v/>
      </c>
      <c r="J40" s="88">
        <f>IF(D40="","",IF(AND(D40="Ingreso",H40&gt;0),"OK",IF(AND(D40="Gasto",H40&lt;0),"OK","⚠ Revisar signo")))</f>
        <v/>
      </c>
    </row>
    <row r="41" ht="15" customHeight="1" s="59">
      <c r="A41" s="83" t="n">
        <v>46060</v>
      </c>
      <c r="B41" s="84" t="inlineStr">
        <is>
          <t>UUO-808</t>
        </is>
      </c>
      <c r="C41" s="84" t="inlineStr">
        <is>
          <t>Juan Pablo Bayona Areiza</t>
        </is>
      </c>
      <c r="D41" s="84" t="inlineStr">
        <is>
          <t>Gasto</t>
        </is>
      </c>
      <c r="E41" s="84" t="inlineStr">
        <is>
          <t>Gasto administrativo</t>
        </is>
      </c>
      <c r="F41" s="85" t="inlineStr">
        <is>
          <t>Se paga administrtación de la semana del 03 al 09 de febrero</t>
        </is>
      </c>
      <c r="G41" s="86" t="n"/>
      <c r="H41" s="87" t="n">
        <v>-102720</v>
      </c>
      <c r="I41" s="88">
        <f>TEXT(A41,"yyyy-mm")</f>
        <v/>
      </c>
      <c r="J41" s="88">
        <f>IF(D41="","",IF(AND(D41="Ingreso",H41&gt;0),"OK",IF(AND(D41="Gasto",H41&lt;0),"OK","⚠ Revisar signo")))</f>
        <v/>
      </c>
    </row>
    <row r="42" ht="15" customHeight="1" s="59">
      <c r="A42" s="83" t="n">
        <v>46064</v>
      </c>
      <c r="B42" s="84" t="inlineStr">
        <is>
          <t>UUO-808</t>
        </is>
      </c>
      <c r="C42" s="84" t="n"/>
      <c r="D42" s="84" t="inlineStr">
        <is>
          <t>Ingreso</t>
        </is>
      </c>
      <c r="E42" s="84" t="inlineStr">
        <is>
          <t>Liquidación</t>
        </is>
      </c>
      <c r="F42" s="85" t="inlineStr">
        <is>
          <t>Liquidación semana del 10 al 16 de febrero ( km)</t>
        </is>
      </c>
      <c r="G42" s="86" t="n"/>
      <c r="H42" s="87" t="n">
        <v>480000</v>
      </c>
      <c r="I42" s="88">
        <f>TEXT(A42,"yyyy-mm")</f>
        <v/>
      </c>
      <c r="J42" s="88">
        <f>IF(D42="","",IF(AND(D42="Ingreso",H42&gt;0),"OK",IF(AND(D42="Gasto",H42&lt;0),"OK","⚠ Revisar signo")))</f>
        <v/>
      </c>
    </row>
    <row r="43" ht="15" customHeight="1" s="59">
      <c r="A43" s="83" t="n">
        <v>46064</v>
      </c>
      <c r="B43" s="84" t="inlineStr">
        <is>
          <t>UUO-808</t>
        </is>
      </c>
      <c r="C43" s="84" t="inlineStr">
        <is>
          <t>Juan Pablo Bayona Areiza</t>
        </is>
      </c>
      <c r="D43" s="84" t="inlineStr">
        <is>
          <t>Gasto</t>
        </is>
      </c>
      <c r="E43" s="84" t="inlineStr">
        <is>
          <t>Gasto administrativo</t>
        </is>
      </c>
      <c r="F43" s="85" t="inlineStr">
        <is>
          <t>Se paga administrtación de la semana del 03 al 09 de febrero</t>
        </is>
      </c>
      <c r="G43" s="86" t="n"/>
      <c r="H43" s="87" t="n">
        <v>-102720</v>
      </c>
      <c r="I43" s="88">
        <f>TEXT(A43,"yyyy-mm")</f>
        <v/>
      </c>
      <c r="J43" s="88">
        <f>IF(D43="","",IF(AND(D43="Ingreso",H43&gt;0),"OK",IF(AND(D43="Gasto",H43&lt;0),"OK","⚠ Revisar signo")))</f>
        <v/>
      </c>
    </row>
    <row r="44" ht="15" customHeight="1" s="59">
      <c r="A44" s="83" t="n">
        <v>46070</v>
      </c>
      <c r="B44" s="84" t="inlineStr">
        <is>
          <t>UUO-808</t>
        </is>
      </c>
      <c r="C44" s="84" t="inlineStr">
        <is>
          <t>Hernán Villada Villada</t>
        </is>
      </c>
      <c r="D44" s="84" t="inlineStr">
        <is>
          <t>Ingreso</t>
        </is>
      </c>
      <c r="E44" s="84" t="inlineStr">
        <is>
          <t>Liquidación</t>
        </is>
      </c>
      <c r="F44" s="85" t="inlineStr">
        <is>
          <t>Paga el dia martes 17 de febrero</t>
        </is>
      </c>
      <c r="G44" s="86" t="n"/>
      <c r="H44" s="87" t="n">
        <v>80000</v>
      </c>
      <c r="I44" s="88">
        <f>TEXT(A44,"yyyy-mm")</f>
        <v/>
      </c>
      <c r="J44" s="88">
        <f>IF(D44="","",IF(AND(D44="Ingreso",H44&gt;0),"OK",IF(AND(D44="Gasto",H44&lt;0),"OK","⚠ Revisar signo")))</f>
        <v/>
      </c>
    </row>
    <row r="45" ht="15" customHeight="1" s="59">
      <c r="A45" s="83" t="n">
        <v>46071</v>
      </c>
      <c r="B45" s="84" t="inlineStr">
        <is>
          <t>UUO-808</t>
        </is>
      </c>
      <c r="C45" s="84" t="inlineStr">
        <is>
          <t>Hernán Villada Villada</t>
        </is>
      </c>
      <c r="D45" s="84" t="inlineStr">
        <is>
          <t>Ingreso</t>
        </is>
      </c>
      <c r="E45" s="84" t="inlineStr">
        <is>
          <t>Liquidación</t>
        </is>
      </c>
      <c r="F45" s="85" t="inlineStr">
        <is>
          <t>Liquidación semana del 18 al 24 de febrero (74232 km)</t>
        </is>
      </c>
      <c r="G45" s="86" t="n"/>
      <c r="H45" s="87" t="n">
        <v>480000</v>
      </c>
      <c r="I45" s="88">
        <f>TEXT(A45,"yyyy-mm")</f>
        <v/>
      </c>
      <c r="J45" s="88">
        <f>IF(D45="","",IF(AND(D45="Ingreso",H45&gt;0),"OK",IF(AND(D45="Gasto",H45&lt;0),"OK","⚠ Revisar signo")))</f>
        <v/>
      </c>
    </row>
    <row r="46" ht="23.85" customHeight="1" s="59">
      <c r="A46" s="83" t="n">
        <v>46071</v>
      </c>
      <c r="B46" s="84" t="inlineStr">
        <is>
          <t>UUO-808</t>
        </is>
      </c>
      <c r="C46" s="84" t="inlineStr">
        <is>
          <t>Juan Pablo Bayona Areiza</t>
        </is>
      </c>
      <c r="D46" s="84" t="inlineStr">
        <is>
          <t>Gasto</t>
        </is>
      </c>
      <c r="E46" s="84" t="inlineStr">
        <is>
          <t>Gasto administrativo</t>
        </is>
      </c>
      <c r="F46" s="85" t="inlineStr">
        <is>
          <t>Se paga administrtación de los dias martes 17 de febrero y semana del 18 al 24 de febrero</t>
        </is>
      </c>
      <c r="G46" s="86" t="n"/>
      <c r="H46" s="87" t="n">
        <v>-119840</v>
      </c>
      <c r="I46" s="88">
        <f>TEXT(A46,"yyyy-mm")</f>
        <v/>
      </c>
      <c r="J46" s="88">
        <f>IF(D46="","",IF(AND(D46="Ingreso",H46&gt;0),"OK",IF(AND(D46="Gasto",H46&lt;0),"OK","⚠ Revisar signo")))</f>
        <v/>
      </c>
    </row>
    <row r="47" ht="23.85" customHeight="1" s="59">
      <c r="A47" s="83" t="n">
        <v>46073</v>
      </c>
      <c r="B47" s="84" t="inlineStr">
        <is>
          <t>UUO-808</t>
        </is>
      </c>
      <c r="C47" s="84" t="inlineStr">
        <is>
          <t>Hernán Villada Villada</t>
        </is>
      </c>
      <c r="D47" s="84" t="inlineStr">
        <is>
          <t>Gasto</t>
        </is>
      </c>
      <c r="E47" s="84" t="inlineStr">
        <is>
          <t>Mano de obra</t>
        </is>
      </c>
      <c r="F47" s="85" t="inlineStr">
        <is>
          <t>Se hace lavar el motor del vehiculo para identificar una posible fuga de aceitue de motor</t>
        </is>
      </c>
      <c r="G47" s="86" t="n"/>
      <c r="H47" s="87" t="n">
        <v>-30000</v>
      </c>
      <c r="I47" s="88">
        <f>TEXT(A47,"yyyy-mm")</f>
        <v/>
      </c>
      <c r="J47" s="88">
        <f>IF(D47="","",IF(AND(D47="Ingreso",H47&gt;0),"OK",IF(AND(D47="Gasto",H47&lt;0),"OK","⚠ Revisar signo")))</f>
        <v/>
      </c>
    </row>
    <row r="48" ht="15" customHeight="1" s="59">
      <c r="A48" s="83" t="n">
        <v>46078</v>
      </c>
      <c r="B48" s="84" t="inlineStr">
        <is>
          <t>UUO-808</t>
        </is>
      </c>
      <c r="C48" s="84" t="inlineStr">
        <is>
          <t>Hernán Villada Villada</t>
        </is>
      </c>
      <c r="D48" s="84" t="inlineStr">
        <is>
          <t>Ingreso</t>
        </is>
      </c>
      <c r="E48" s="84" t="inlineStr">
        <is>
          <t>Liquidación</t>
        </is>
      </c>
      <c r="F48" s="85" t="inlineStr">
        <is>
          <t>Liquidación semana del 25 de febrero al 03 de marzo ( km)</t>
        </is>
      </c>
      <c r="G48" s="86" t="n"/>
      <c r="H48" s="87" t="n">
        <v>480000</v>
      </c>
      <c r="I48" s="88">
        <f>TEXT(A48,"yyyy-mm")</f>
        <v/>
      </c>
      <c r="J48" s="88">
        <f>IF(D48="","",IF(AND(D48="Ingreso",H48&gt;0),"OK",IF(AND(D48="Gasto",H48&lt;0),"OK","⚠ Revisar signo")))</f>
        <v/>
      </c>
    </row>
    <row r="49" ht="15" customHeight="1" s="59">
      <c r="A49" s="83" t="n">
        <v>46078</v>
      </c>
      <c r="B49" s="84" t="inlineStr">
        <is>
          <t>UUO-808</t>
        </is>
      </c>
      <c r="C49" s="84" t="inlineStr">
        <is>
          <t>Juan Pablo Bayona Areiza</t>
        </is>
      </c>
      <c r="D49" s="84" t="inlineStr">
        <is>
          <t>Gasto</t>
        </is>
      </c>
      <c r="E49" s="84" t="inlineStr">
        <is>
          <t>Gasto administrativo</t>
        </is>
      </c>
      <c r="F49" s="85" t="inlineStr">
        <is>
          <t>Se paga administrtación del 25 de febrero al 03 de marzo</t>
        </is>
      </c>
      <c r="G49" s="86" t="n"/>
      <c r="H49" s="87" t="n">
        <v>-102720</v>
      </c>
      <c r="I49" s="88">
        <f>TEXT(A49,"yyyy-mm")</f>
        <v/>
      </c>
      <c r="J49" s="88">
        <f>IF(D49="","",IF(AND(D49="Ingreso",H49&gt;0),"OK",IF(AND(D49="Gasto",H49&lt;0),"OK","⚠ Revisar signo")))</f>
        <v/>
      </c>
    </row>
    <row r="50" ht="15" customHeight="1" s="59">
      <c r="A50" s="83" t="n">
        <v>46078</v>
      </c>
      <c r="B50" s="84" t="inlineStr">
        <is>
          <t>UUO-808</t>
        </is>
      </c>
      <c r="C50" s="84" t="inlineStr">
        <is>
          <t>Hernán Villada Villada</t>
        </is>
      </c>
      <c r="D50" s="84" t="inlineStr">
        <is>
          <t>Gasto</t>
        </is>
      </c>
      <c r="E50" s="84" t="inlineStr">
        <is>
          <t>Repuesto</t>
        </is>
      </c>
      <c r="F50" s="85" t="inlineStr">
        <is>
          <t>Se le compran las pastas de freno delanteras</t>
        </is>
      </c>
      <c r="G50" s="86" t="n"/>
      <c r="H50" s="87" t="n">
        <v>-130000</v>
      </c>
      <c r="I50" s="88">
        <f>TEXT(A50,"yyyy-mm")</f>
        <v/>
      </c>
      <c r="J50" s="88">
        <f>IF(D50="","",IF(AND(D50="Ingreso",H50&gt;0),"OK",IF(AND(D50="Gasto",H50&lt;0),"OK","⚠ Revisar signo")))</f>
        <v/>
      </c>
    </row>
    <row r="51" ht="15" customHeight="1" s="59">
      <c r="A51" s="83" t="n">
        <v>46078</v>
      </c>
      <c r="B51" s="84" t="inlineStr">
        <is>
          <t>UUO-808</t>
        </is>
      </c>
      <c r="C51" s="84" t="inlineStr">
        <is>
          <t>Hernán Villada Villada</t>
        </is>
      </c>
      <c r="D51" s="84" t="inlineStr">
        <is>
          <t>Gasto</t>
        </is>
      </c>
      <c r="E51" s="84" t="inlineStr">
        <is>
          <t>Mano de obra</t>
        </is>
      </c>
      <c r="F51" s="85" t="inlineStr">
        <is>
          <t>Se le paga la mano obra del cambio de las pastas de freno delanteras</t>
        </is>
      </c>
      <c r="G51" s="86" t="n"/>
      <c r="H51" s="87" t="n">
        <v>-30000</v>
      </c>
      <c r="I51" s="88">
        <f>TEXT(A51,"yyyy-mm")</f>
        <v/>
      </c>
      <c r="J51" s="88">
        <f>IF(D51="","",IF(AND(D51="Ingreso",H51&gt;0),"OK",IF(AND(D51="Gasto",H51&lt;0),"OK","⚠ Revisar signo")))</f>
        <v/>
      </c>
    </row>
    <row r="52" ht="15" customHeight="1" s="59">
      <c r="A52" s="83" t="n">
        <v>46085</v>
      </c>
      <c r="B52" s="84" t="inlineStr">
        <is>
          <t>UUO-808</t>
        </is>
      </c>
      <c r="C52" s="84" t="inlineStr">
        <is>
          <t>Hernán Villada Villada</t>
        </is>
      </c>
      <c r="D52" s="84" t="inlineStr">
        <is>
          <t>Ingreso</t>
        </is>
      </c>
      <c r="E52" s="84" t="inlineStr">
        <is>
          <t>Liquidación</t>
        </is>
      </c>
      <c r="F52" s="85" t="inlineStr">
        <is>
          <t>Liquidación semana del 04 al 10 de marzo (77.076 Km)</t>
        </is>
      </c>
      <c r="G52" s="86" t="n"/>
      <c r="H52" s="87" t="n">
        <v>480000</v>
      </c>
      <c r="I52" s="88">
        <f>TEXT(A52,"yyyy-mm")</f>
        <v/>
      </c>
      <c r="J52" s="88">
        <f>IF(D52="","",IF(AND(D52="Ingreso",H52&gt;0),"OK",IF(AND(D52="Gasto",H52&lt;0),"OK","⚠ Revisar signo")))</f>
        <v/>
      </c>
    </row>
    <row r="53" ht="15" customHeight="1" s="59">
      <c r="A53" s="83" t="n">
        <v>46085</v>
      </c>
      <c r="B53" s="84" t="inlineStr">
        <is>
          <t>UUO-808</t>
        </is>
      </c>
      <c r="C53" s="84" t="inlineStr">
        <is>
          <t>Hernán Villada Villada</t>
        </is>
      </c>
      <c r="D53" s="84" t="inlineStr">
        <is>
          <t>Gasto</t>
        </is>
      </c>
      <c r="E53" s="84" t="inlineStr">
        <is>
          <t>Gasto administrativo</t>
        </is>
      </c>
      <c r="F53" s="85" t="inlineStr">
        <is>
          <t>Se paga administrtación del 04 al 10 de febrero</t>
        </is>
      </c>
      <c r="G53" s="86" t="n"/>
      <c r="H53" s="87" t="n">
        <v>-102720</v>
      </c>
      <c r="I53" s="88">
        <f>TEXT(A53,"yyyy-mm")</f>
        <v/>
      </c>
      <c r="J53" s="88">
        <f>IF(D53="","",IF(AND(D53="Ingreso",H53&gt;0),"OK",IF(AND(D53="Gasto",H53&lt;0),"OK","⚠ Revisar signo")))</f>
        <v/>
      </c>
    </row>
    <row r="54" ht="15" customHeight="1" s="59">
      <c r="A54" s="83" t="n">
        <v>46085</v>
      </c>
      <c r="B54" s="84" t="inlineStr">
        <is>
          <t>UUO-808</t>
        </is>
      </c>
      <c r="C54" s="84" t="inlineStr">
        <is>
          <t>Hernán Villada Villada</t>
        </is>
      </c>
      <c r="D54" s="84" t="inlineStr">
        <is>
          <t>Gasto</t>
        </is>
      </c>
      <c r="E54" s="84" t="inlineStr">
        <is>
          <t>Accesorio</t>
        </is>
      </c>
      <c r="F54" s="85" t="inlineStr">
        <is>
          <t>Se compran dos bombillos para las fárolas y dos bombillos media</t>
        </is>
      </c>
      <c r="G54" s="86" t="n"/>
      <c r="H54" s="87" t="n">
        <v>-28000</v>
      </c>
      <c r="I54" s="88">
        <f>TEXT(A54,"yyyy-mm")</f>
        <v/>
      </c>
      <c r="J54" s="88">
        <f>IF(D54="","",IF(AND(D54="Ingreso",H54&gt;0),"OK",IF(AND(D54="Gasto",H54&lt;0),"OK","⚠ Revisar signo")))</f>
        <v/>
      </c>
    </row>
    <row r="55" ht="15" customHeight="1" s="59">
      <c r="A55" s="83" t="n">
        <v>46092</v>
      </c>
      <c r="B55" s="84" t="inlineStr">
        <is>
          <t>UUO-808</t>
        </is>
      </c>
      <c r="C55" s="84" t="inlineStr">
        <is>
          <t>Hernán Villada Villada</t>
        </is>
      </c>
      <c r="D55" s="84" t="inlineStr">
        <is>
          <t>Ingreso</t>
        </is>
      </c>
      <c r="E55" s="84" t="inlineStr">
        <is>
          <t>Liquidación</t>
        </is>
      </c>
      <c r="F55" s="85" t="inlineStr">
        <is>
          <t>Liquidación semana del 11, 12 de marzo (78.394 Km)</t>
        </is>
      </c>
      <c r="G55" s="86" t="n"/>
      <c r="H55" s="87" t="n">
        <v>160000</v>
      </c>
      <c r="I55" s="88">
        <f>TEXT(A55,"yyyy-mm")</f>
        <v/>
      </c>
      <c r="J55" s="88">
        <f>IF(D55="","",IF(AND(D55="Ingreso",H55&gt;0),"OK",IF(AND(D55="Gasto",H55&lt;0),"OK","⚠ Revisar signo")))</f>
        <v/>
      </c>
    </row>
    <row r="56" ht="15" customHeight="1" s="59">
      <c r="A56" s="83" t="n">
        <v>46092</v>
      </c>
      <c r="B56" s="84" t="inlineStr">
        <is>
          <t>UUO-808</t>
        </is>
      </c>
      <c r="C56" s="84" t="inlineStr">
        <is>
          <t>Juan Pablo Bayona Areiza</t>
        </is>
      </c>
      <c r="D56" s="84" t="inlineStr">
        <is>
          <t>Gasto</t>
        </is>
      </c>
      <c r="E56" s="84" t="inlineStr">
        <is>
          <t>Gasto administrativo</t>
        </is>
      </c>
      <c r="F56" s="85" t="inlineStr">
        <is>
          <t>Se paga administrtación del 11, 12 de marzo</t>
        </is>
      </c>
      <c r="G56" s="86" t="n"/>
      <c r="H56" s="87" t="n">
        <v>-34240</v>
      </c>
      <c r="I56" s="88">
        <f>TEXT(A56,"yyyy-mm")</f>
        <v/>
      </c>
      <c r="J56" s="88">
        <f>IF(D56="","",IF(AND(D56="Ingreso",H56&gt;0),"OK",IF(AND(D56="Gasto",H56&lt;0),"OK","⚠ Revisar signo")))</f>
        <v/>
      </c>
    </row>
    <row r="57" ht="15" customHeight="1" s="59">
      <c r="A57" s="83" t="n">
        <v>46094</v>
      </c>
      <c r="B57" s="84" t="inlineStr">
        <is>
          <t>UUO-808</t>
        </is>
      </c>
      <c r="C57" s="84" t="inlineStr">
        <is>
          <t>José Daniel Otálvaro</t>
        </is>
      </c>
      <c r="D57" s="84" t="inlineStr">
        <is>
          <t>Ingreso</t>
        </is>
      </c>
      <c r="E57" s="84" t="inlineStr">
        <is>
          <t>Liquidación</t>
        </is>
      </c>
      <c r="F57" s="85" t="inlineStr">
        <is>
          <t>Liquidación semana del 18 al 24 de marzo</t>
        </is>
      </c>
      <c r="G57" s="86" t="n"/>
      <c r="H57" s="87" t="n">
        <v>480000</v>
      </c>
      <c r="I57" s="88">
        <f>TEXT(A57,"yyyy-mm")</f>
        <v/>
      </c>
      <c r="J57" s="88">
        <f>IF(D57="","",IF(AND(D57="Ingreso",H57&gt;0),"OK",IF(AND(D57="Gasto",H57&lt;0),"OK","⚠ Revisar signo")))</f>
        <v/>
      </c>
    </row>
    <row r="58" ht="15" customHeight="1" s="59">
      <c r="A58" s="83" t="n">
        <v>46094</v>
      </c>
      <c r="B58" s="84" t="inlineStr">
        <is>
          <t>UUO-808</t>
        </is>
      </c>
      <c r="C58" s="84" t="inlineStr">
        <is>
          <t>Juan Pablo Bayona Areiza</t>
        </is>
      </c>
      <c r="D58" s="84" t="inlineStr">
        <is>
          <t>Gasto</t>
        </is>
      </c>
      <c r="E58" s="84" t="inlineStr">
        <is>
          <t>Gasto administrativo</t>
        </is>
      </c>
      <c r="F58" s="85" t="inlineStr">
        <is>
          <t>Se paga administrtación del 18 al 24 de marzo</t>
        </is>
      </c>
      <c r="G58" s="86" t="n"/>
      <c r="H58" s="87" t="n">
        <v>-102720</v>
      </c>
      <c r="I58" s="88">
        <f>TEXT(A58,"yyyy-mm")</f>
        <v/>
      </c>
      <c r="J58" s="88">
        <f>IF(D58="","",IF(AND(D58="Ingreso",H58&gt;0),"OK",IF(AND(D58="Gasto",H58&lt;0),"OK","⚠ Revisar signo")))</f>
        <v/>
      </c>
    </row>
    <row r="59" ht="15" customHeight="1" s="59">
      <c r="A59" s="83" t="n">
        <v>46094</v>
      </c>
      <c r="B59" s="84" t="inlineStr">
        <is>
          <t>UUO-808</t>
        </is>
      </c>
      <c r="C59" s="84" t="inlineStr">
        <is>
          <t>José Daniel Otálvaro</t>
        </is>
      </c>
      <c r="D59" s="84" t="inlineStr">
        <is>
          <t>Gasto</t>
        </is>
      </c>
      <c r="E59" s="84" t="inlineStr">
        <is>
          <t>Mantenimiento</t>
        </is>
      </c>
      <c r="F59" s="85" t="inlineStr">
        <is>
          <t>Se le echa 1/4 de aceite de motor ya que tiene una pequeña fuga</t>
        </is>
      </c>
      <c r="G59" s="86" t="n"/>
      <c r="H59" s="87" t="n">
        <v>-50000</v>
      </c>
      <c r="I59" s="88">
        <f>TEXT(A59,"yyyy-mm")</f>
        <v/>
      </c>
      <c r="J59" s="88">
        <f>IF(D59="","",IF(AND(D59="Ingreso",H59&gt;0),"OK",IF(AND(D59="Gasto",H59&lt;0),"OK","⚠ Revisar signo")))</f>
        <v/>
      </c>
    </row>
    <row r="60" ht="15" customHeight="1" s="59">
      <c r="A60" s="83" t="n">
        <v>46094</v>
      </c>
      <c r="B60" s="84" t="inlineStr">
        <is>
          <t>UUO-808</t>
        </is>
      </c>
      <c r="C60" s="84" t="inlineStr">
        <is>
          <t>José Daniel Otálvaro</t>
        </is>
      </c>
      <c r="D60" s="84" t="inlineStr">
        <is>
          <t>Gasto</t>
        </is>
      </c>
      <c r="E60" s="84" t="inlineStr">
        <is>
          <t>Gasto administrativo</t>
        </is>
      </c>
      <c r="F60" s="85" t="inlineStr">
        <is>
          <t>Se hace lavar el vehículo para entregarlo</t>
        </is>
      </c>
      <c r="G60" s="86" t="n"/>
      <c r="H60" s="87" t="n">
        <v>-35000</v>
      </c>
      <c r="I60" s="88">
        <f>TEXT(A60,"yyyy-mm")</f>
        <v/>
      </c>
      <c r="J60" s="88">
        <f>IF(D60="","",IF(AND(D60="Ingreso",H60&gt;0),"OK",IF(AND(D60="Gasto",H60&lt;0),"OK","⚠ Revisar signo")))</f>
        <v/>
      </c>
    </row>
    <row r="61" ht="15" customHeight="1" s="59">
      <c r="A61" s="83" t="n">
        <v>46098</v>
      </c>
      <c r="B61" s="84" t="inlineStr">
        <is>
          <t>UUO-808</t>
        </is>
      </c>
      <c r="C61" s="84" t="inlineStr">
        <is>
          <t>José Daniel Otálvaro</t>
        </is>
      </c>
      <c r="D61" s="84" t="inlineStr">
        <is>
          <t>Gasto</t>
        </is>
      </c>
      <c r="E61" s="84" t="inlineStr">
        <is>
          <t>Repuesto</t>
        </is>
      </c>
      <c r="F61" s="85" t="inlineStr">
        <is>
          <t>Se compran 2 latas de gas para recargar el aire acondicionado</t>
        </is>
      </c>
      <c r="G61" s="86" t="n"/>
      <c r="H61" s="87" t="n">
        <v>-38000</v>
      </c>
      <c r="I61" s="88">
        <f>TEXT(A61,"yyyy-mm")</f>
        <v/>
      </c>
      <c r="J61" s="88">
        <f>IF(D61="","",IF(AND(D61="Ingreso",H61&gt;0),"OK",IF(AND(D61="Gasto",H61&lt;0),"OK","⚠ Revisar signo")))</f>
        <v/>
      </c>
    </row>
    <row r="62" ht="15" customHeight="1" s="59">
      <c r="A62" s="83" t="n">
        <v>46098</v>
      </c>
      <c r="B62" s="84" t="inlineStr">
        <is>
          <t>UUO-808</t>
        </is>
      </c>
      <c r="C62" s="84" t="inlineStr">
        <is>
          <t>José Daniel Otálvaro</t>
        </is>
      </c>
      <c r="D62" s="84" t="inlineStr">
        <is>
          <t>Gasto</t>
        </is>
      </c>
      <c r="E62" s="84" t="inlineStr">
        <is>
          <t>Repuesto</t>
        </is>
      </c>
      <c r="F62" s="85" t="inlineStr">
        <is>
          <t>Se compran las dos llantas delanteras</t>
        </is>
      </c>
      <c r="G62" s="86" t="n"/>
      <c r="H62" s="87" t="n">
        <v>-309000</v>
      </c>
      <c r="I62" s="88">
        <f>TEXT(A62,"yyyy-mm")</f>
        <v/>
      </c>
      <c r="J62" s="88">
        <f>IF(D62="","",IF(AND(D62="Ingreso",H62&gt;0),"OK",IF(AND(D62="Gasto",H62&lt;0),"OK","⚠ Revisar signo")))</f>
        <v/>
      </c>
    </row>
    <row r="63" ht="15" customHeight="1" s="59">
      <c r="A63" s="83" t="n">
        <v>46099</v>
      </c>
      <c r="B63" s="84" t="inlineStr">
        <is>
          <t>UUO-808</t>
        </is>
      </c>
      <c r="C63" s="84" t="inlineStr">
        <is>
          <t>José Daniel Otálvaro</t>
        </is>
      </c>
      <c r="D63" s="84" t="inlineStr">
        <is>
          <t>Ingreso</t>
        </is>
      </c>
      <c r="E63" s="84" t="inlineStr">
        <is>
          <t>Liquidación</t>
        </is>
      </c>
      <c r="F63" s="85" t="inlineStr">
        <is>
          <t>Se pagan los dias 14, 15, 16 y 17 de marzo (79.641 km)</t>
        </is>
      </c>
      <c r="G63" s="86" t="n"/>
      <c r="H63" s="87" t="n">
        <v>320000</v>
      </c>
      <c r="I63" s="88">
        <f>TEXT(A63,"yyyy-mm")</f>
        <v/>
      </c>
      <c r="J63" s="88">
        <f>IF(D63="","",IF(AND(D63="Ingreso",H63&gt;0),"OK",IF(AND(D63="Gasto",H63&lt;0),"OK","⚠ Revisar signo")))</f>
        <v/>
      </c>
    </row>
    <row r="64" ht="15" customHeight="1" s="59">
      <c r="A64" s="83" t="n">
        <v>46099</v>
      </c>
      <c r="B64" s="84" t="inlineStr">
        <is>
          <t>UUO-808</t>
        </is>
      </c>
      <c r="C64" s="84" t="inlineStr">
        <is>
          <t>Juan Pablo Bayona Areiza</t>
        </is>
      </c>
      <c r="D64" s="84" t="inlineStr">
        <is>
          <t>Gasto</t>
        </is>
      </c>
      <c r="E64" s="84" t="inlineStr">
        <is>
          <t>Gasto administrativo</t>
        </is>
      </c>
      <c r="F64" s="85" t="inlineStr">
        <is>
          <t>Se paga administrtación del 14, 15, 16, y 17 de marzo</t>
        </is>
      </c>
      <c r="G64" s="86" t="n"/>
      <c r="H64" s="87" t="n">
        <v>-68480</v>
      </c>
      <c r="I64" s="88">
        <f>TEXT(A64,"yyyy-mm")</f>
        <v/>
      </c>
      <c r="J64" s="88">
        <f>IF(D64="","",IF(AND(D64="Ingreso",H64&gt;0),"OK",IF(AND(D64="Gasto",H64&lt;0),"OK","⚠ Revisar signo")))</f>
        <v/>
      </c>
    </row>
    <row r="65" ht="15" customHeight="1" s="59">
      <c r="A65" s="83" t="n">
        <v>46102</v>
      </c>
      <c r="B65" s="84" t="inlineStr">
        <is>
          <t>UUO-808</t>
        </is>
      </c>
      <c r="C65" s="84" t="inlineStr">
        <is>
          <t>Juan Pablo Bayona Areiza</t>
        </is>
      </c>
      <c r="D65" s="84" t="inlineStr">
        <is>
          <t>Gasto</t>
        </is>
      </c>
      <c r="E65" s="84" t="inlineStr">
        <is>
          <t>Repuesto</t>
        </is>
      </c>
      <c r="F65" s="85" t="inlineStr">
        <is>
          <t>Se compra filtro de aceite</t>
        </is>
      </c>
      <c r="G65" s="86" t="n"/>
      <c r="H65" s="87" t="n">
        <v>-12000</v>
      </c>
      <c r="I65" s="88">
        <f>TEXT(A65,"yyyy-mm")</f>
        <v/>
      </c>
      <c r="J65" s="88">
        <f>IF(D65="","",IF(AND(D65="Ingreso",H65&gt;0),"OK",IF(AND(D65="Gasto",H65&lt;0),"OK","⚠ Revisar signo")))</f>
        <v/>
      </c>
    </row>
    <row r="66" ht="15" customHeight="1" s="59">
      <c r="A66" s="83" t="n">
        <v>46102</v>
      </c>
      <c r="B66" s="84" t="inlineStr">
        <is>
          <t>UUO-808</t>
        </is>
      </c>
      <c r="C66" s="84" t="inlineStr">
        <is>
          <t>Juan Pablo Bayona Areiza</t>
        </is>
      </c>
      <c r="D66" s="84" t="inlineStr">
        <is>
          <t>Gasto</t>
        </is>
      </c>
      <c r="E66" s="84" t="inlineStr">
        <is>
          <t>Repuesto</t>
        </is>
      </c>
      <c r="F66" s="85" t="inlineStr">
        <is>
          <t>Se compra filtro de aire acondicionado</t>
        </is>
      </c>
      <c r="G66" s="86" t="n"/>
      <c r="H66" s="87" t="n">
        <v>-26000</v>
      </c>
      <c r="I66" s="88">
        <f>TEXT(A66,"yyyy-mm")</f>
        <v/>
      </c>
      <c r="J66" s="88">
        <f>IF(D66="","",IF(AND(D66="Ingreso",H66&gt;0),"OK",IF(AND(D66="Gasto",H66&lt;0),"OK","⚠ Revisar signo")))</f>
        <v/>
      </c>
    </row>
    <row r="67" ht="15" customHeight="1" s="59">
      <c r="A67" s="83" t="n">
        <v>46105</v>
      </c>
      <c r="B67" s="84" t="inlineStr">
        <is>
          <t>UUO-808</t>
        </is>
      </c>
      <c r="C67" s="84" t="inlineStr">
        <is>
          <t>Juan Pablo Bayona Areiza</t>
        </is>
      </c>
      <c r="D67" s="84" t="inlineStr">
        <is>
          <t>Gasto</t>
        </is>
      </c>
      <c r="E67" s="84" t="inlineStr">
        <is>
          <t>Repuesto</t>
        </is>
      </c>
      <c r="F67" s="85" t="inlineStr">
        <is>
          <t>Se compra una bobina</t>
        </is>
      </c>
      <c r="G67" s="86" t="n"/>
      <c r="H67" s="87" t="n">
        <v>-60000</v>
      </c>
      <c r="I67" s="88">
        <f>TEXT(A67,"yyyy-mm")</f>
        <v/>
      </c>
      <c r="J67" s="88">
        <f>IF(D67="","",IF(AND(D67="Ingreso",H67&gt;0),"OK",IF(AND(D67="Gasto",H67&lt;0),"OK","⚠ Revisar signo")))</f>
        <v/>
      </c>
    </row>
    <row r="68" ht="15" customHeight="1" s="59">
      <c r="A68" s="83" t="n">
        <v>46105</v>
      </c>
      <c r="B68" s="84" t="inlineStr">
        <is>
          <t>UUO-808</t>
        </is>
      </c>
      <c r="C68" s="84" t="inlineStr">
        <is>
          <t>Juan Pablo Bayona Areiza</t>
        </is>
      </c>
      <c r="D68" s="84" t="inlineStr">
        <is>
          <t>Gasto</t>
        </is>
      </c>
      <c r="E68" s="84" t="inlineStr">
        <is>
          <t>Repuesto</t>
        </is>
      </c>
      <c r="F68" s="85" t="inlineStr">
        <is>
          <t>Se compra filtro de aire de motor</t>
        </is>
      </c>
      <c r="G68" s="86" t="n"/>
      <c r="H68" s="87" t="n">
        <v>-29000</v>
      </c>
      <c r="I68" s="88">
        <f>TEXT(A68,"yyyy-mm")</f>
        <v/>
      </c>
      <c r="J68" s="88">
        <f>IF(D68="","",IF(AND(D68="Ingreso",H68&gt;0),"OK",IF(AND(D68="Gasto",H68&lt;0),"OK","⚠ Revisar signo")))</f>
        <v/>
      </c>
    </row>
    <row r="69" ht="15" customHeight="1" s="59">
      <c r="A69" s="83" t="n">
        <v>46105</v>
      </c>
      <c r="B69" s="84" t="inlineStr">
        <is>
          <t>UUO-808</t>
        </is>
      </c>
      <c r="C69" s="84" t="inlineStr">
        <is>
          <t>José Daniel Otálvaro</t>
        </is>
      </c>
      <c r="D69" s="84" t="inlineStr">
        <is>
          <t>Ingreso</t>
        </is>
      </c>
      <c r="E69" s="84" t="inlineStr">
        <is>
          <t>Liquidación</t>
        </is>
      </c>
      <c r="F69" s="85" t="inlineStr">
        <is>
          <t>Liquidación semana del 25 al 31 de marzo (80.953 Km)</t>
        </is>
      </c>
      <c r="G69" s="86" t="n"/>
      <c r="H69" s="87" t="n">
        <v>400000</v>
      </c>
      <c r="I69" s="88">
        <f>TEXT(A69,"yyyy-mm")</f>
        <v/>
      </c>
      <c r="J69" s="88">
        <f>IF(D69="","",IF(AND(D69="Ingreso",H69&gt;0),"OK",IF(AND(D69="Gasto",H69&lt;0),"OK","⚠ Revisar signo")))</f>
        <v/>
      </c>
    </row>
    <row r="70" ht="15" customHeight="1" s="59">
      <c r="A70" s="83" t="n">
        <v>46105</v>
      </c>
      <c r="B70" s="84" t="inlineStr">
        <is>
          <t>UUO-808</t>
        </is>
      </c>
      <c r="C70" s="84" t="inlineStr">
        <is>
          <t>Juan Pablo Bayona Areiza</t>
        </is>
      </c>
      <c r="D70" s="84" t="inlineStr">
        <is>
          <t>Gasto</t>
        </is>
      </c>
      <c r="E70" s="84" t="inlineStr">
        <is>
          <t>Gasto administrativo</t>
        </is>
      </c>
      <c r="F70" s="85" t="inlineStr">
        <is>
          <t>Se paga administrtación del 25 al 31 de marzo</t>
        </is>
      </c>
      <c r="G70" s="86" t="n"/>
      <c r="H70" s="87" t="n">
        <v>-85600</v>
      </c>
      <c r="I70" s="88">
        <f>TEXT(A70,"yyyy-mm")</f>
        <v/>
      </c>
      <c r="J70" s="88">
        <f>IF(D70="","",IF(AND(D70="Ingreso",H70&gt;0),"OK",IF(AND(D70="Gasto",H70&lt;0),"OK","⚠ Revisar signo")))</f>
        <v/>
      </c>
    </row>
    <row r="71" ht="15" customHeight="1" s="59">
      <c r="A71" s="83" t="n">
        <v>46113</v>
      </c>
      <c r="B71" s="84" t="inlineStr">
        <is>
          <t>UUO-808</t>
        </is>
      </c>
      <c r="C71" s="84" t="inlineStr">
        <is>
          <t>José Daniel Otálvaro</t>
        </is>
      </c>
      <c r="D71" s="84" t="inlineStr">
        <is>
          <t>Ingreso</t>
        </is>
      </c>
      <c r="E71" s="84" t="inlineStr">
        <is>
          <t>Liquidación</t>
        </is>
      </c>
      <c r="F71" s="85" t="inlineStr">
        <is>
          <t>Liquidación semana del 01 al 07 de abril (82.223 Km)</t>
        </is>
      </c>
      <c r="G71" s="86" t="n"/>
      <c r="H71" s="87" t="n">
        <v>480000</v>
      </c>
      <c r="I71" s="88">
        <f>TEXT(A71,"yyyy-mm")</f>
        <v/>
      </c>
      <c r="J71" s="88">
        <f>IF(D71="","",IF(AND(D71="Ingreso",H71&gt;0),"OK",IF(AND(D71="Gasto",H71&lt;0),"OK","⚠ Revisar signo")))</f>
        <v/>
      </c>
    </row>
    <row r="72" ht="15" customHeight="1" s="59">
      <c r="A72" s="83" t="n">
        <v>46113</v>
      </c>
      <c r="B72" s="84" t="inlineStr">
        <is>
          <t>UUO-808</t>
        </is>
      </c>
      <c r="C72" s="84" t="inlineStr">
        <is>
          <t>Juan Pablo Bayona Areiza</t>
        </is>
      </c>
      <c r="D72" s="84" t="inlineStr">
        <is>
          <t>Gasto</t>
        </is>
      </c>
      <c r="E72" s="84" t="inlineStr">
        <is>
          <t>Gasto administrativo</t>
        </is>
      </c>
      <c r="F72" s="85" t="inlineStr">
        <is>
          <t>Se paga administración  del 01 al 07 de abril</t>
        </is>
      </c>
      <c r="G72" s="86" t="n"/>
      <c r="H72" s="87" t="n">
        <v>-102720</v>
      </c>
      <c r="I72" s="88">
        <f>TEXT(A72,"yyyy-mm")</f>
        <v/>
      </c>
      <c r="J72" s="88">
        <f>IF(D72="","",IF(AND(D72="Ingreso",H72&gt;0),"OK",IF(AND(D72="Gasto",H72&lt;0),"OK","⚠ Revisar signo")))</f>
        <v/>
      </c>
    </row>
    <row r="73" ht="15" customHeight="1" s="59">
      <c r="A73" s="83" t="n">
        <v>46118</v>
      </c>
      <c r="B73" s="84" t="inlineStr">
        <is>
          <t>UUO-808</t>
        </is>
      </c>
      <c r="C73" s="84" t="inlineStr">
        <is>
          <t>José Daniel Otálvaro</t>
        </is>
      </c>
      <c r="D73" s="84" t="inlineStr">
        <is>
          <t>Gasto</t>
        </is>
      </c>
      <c r="E73" s="84" t="inlineStr">
        <is>
          <t>Repuesto</t>
        </is>
      </c>
      <c r="F73" s="85" t="inlineStr">
        <is>
          <t>Se compran tornillos para el soporte del motor</t>
        </is>
      </c>
      <c r="G73" s="86" t="n"/>
      <c r="H73" s="87" t="n">
        <v>-4500</v>
      </c>
      <c r="I73" s="88">
        <f>TEXT(A73,"yyyy-mm")</f>
        <v/>
      </c>
      <c r="J73" s="88">
        <f>IF(D73="","",IF(AND(D73="Ingreso",H73&gt;0),"OK",IF(AND(D73="Gasto",H73&lt;0),"OK","⚠ Revisar signo")))</f>
        <v/>
      </c>
    </row>
    <row r="74" ht="15" customHeight="1" s="59">
      <c r="A74" s="83" t="n">
        <v>46118</v>
      </c>
      <c r="B74" s="84" t="inlineStr">
        <is>
          <t>UUO-808</t>
        </is>
      </c>
      <c r="C74" s="84" t="inlineStr">
        <is>
          <t>José Daniel Otálvaro</t>
        </is>
      </c>
      <c r="D74" s="84" t="inlineStr">
        <is>
          <t>Gasto</t>
        </is>
      </c>
      <c r="E74" s="84" t="inlineStr">
        <is>
          <t>Repuesto</t>
        </is>
      </c>
      <c r="F74" s="85" t="inlineStr">
        <is>
          <t>Soporte de motor lado cada izquierdo</t>
        </is>
      </c>
      <c r="G74" s="86" t="n"/>
      <c r="H74" s="87" t="n">
        <v>-55000</v>
      </c>
      <c r="I74" s="88">
        <f>TEXT(A74,"yyyy-mm")</f>
        <v/>
      </c>
      <c r="J74" s="88">
        <f>IF(D74="","",IF(AND(D74="Ingreso",H74&gt;0),"OK",IF(AND(D74="Gasto",H74&lt;0),"OK","⚠ Revisar signo")))</f>
        <v/>
      </c>
    </row>
    <row r="75" ht="15" customHeight="1" s="59">
      <c r="A75" s="83" t="n">
        <v>46118</v>
      </c>
      <c r="B75" s="84" t="inlineStr">
        <is>
          <t>UUO-808</t>
        </is>
      </c>
      <c r="C75" s="84" t="inlineStr">
        <is>
          <t>José Daniel Otálvaro</t>
        </is>
      </c>
      <c r="D75" s="84" t="inlineStr">
        <is>
          <t>Gasto</t>
        </is>
      </c>
      <c r="E75" s="84" t="inlineStr">
        <is>
          <t>Mantenimiento</t>
        </is>
      </c>
      <c r="F75" s="85" t="inlineStr">
        <is>
          <t>Se le echa 1/4 de aceite al vehículo por la fuga que tiene</t>
        </is>
      </c>
      <c r="G75" s="86" t="n"/>
      <c r="H75" s="87" t="n">
        <v>-50000</v>
      </c>
      <c r="I75" s="88">
        <f>TEXT(A75,"yyyy-mm")</f>
        <v/>
      </c>
      <c r="J75" s="88">
        <f>IF(D75="","",IF(AND(D75="Ingreso",H75&gt;0),"OK",IF(AND(D75="Gasto",H75&lt;0),"OK","⚠ Revisar signo")))</f>
        <v/>
      </c>
    </row>
    <row r="76" ht="15" customHeight="1" s="59">
      <c r="A76" s="83" t="n">
        <v>46118</v>
      </c>
      <c r="B76" s="84" t="inlineStr">
        <is>
          <t>UUO-808</t>
        </is>
      </c>
      <c r="C76" s="84" t="inlineStr">
        <is>
          <t>José Daniel Otálvaro</t>
        </is>
      </c>
      <c r="D76" s="84" t="inlineStr">
        <is>
          <t>Gasto</t>
        </is>
      </c>
      <c r="E76" s="84" t="inlineStr">
        <is>
          <t>Mantenimiento</t>
        </is>
      </c>
      <c r="F76" s="85" t="inlineStr">
        <is>
          <t>Se recarga el aire acondicionado debido a que se está descaragando</t>
        </is>
      </c>
      <c r="G76" s="86" t="n"/>
      <c r="H76" s="87" t="n">
        <v>-100000</v>
      </c>
      <c r="I76" s="88">
        <f>TEXT(A76,"yyyy-mm")</f>
        <v/>
      </c>
      <c r="J76" s="88">
        <f>IF(D76="","",IF(AND(D76="Ingreso",H76&gt;0),"OK",IF(AND(D76="Gasto",H76&lt;0),"OK","⚠ Revisar signo")))</f>
        <v/>
      </c>
    </row>
    <row r="77" ht="15" customHeight="1" s="59">
      <c r="A77" s="83" t="n">
        <v>46119</v>
      </c>
      <c r="B77" s="84" t="inlineStr">
        <is>
          <t>UUO-808</t>
        </is>
      </c>
      <c r="C77" s="84" t="inlineStr">
        <is>
          <t>José Daniel Otálvaro</t>
        </is>
      </c>
      <c r="D77" s="84" t="inlineStr">
        <is>
          <t>Gasto</t>
        </is>
      </c>
      <c r="E77" s="84" t="inlineStr">
        <is>
          <t>Repuesto</t>
        </is>
      </c>
      <c r="F77" s="85" t="inlineStr">
        <is>
          <t>Se le compra refrigerante</t>
        </is>
      </c>
      <c r="G77" s="86" t="n"/>
      <c r="H77" s="87" t="n">
        <v>-13000</v>
      </c>
      <c r="I77" s="88">
        <f>TEXT(A77,"yyyy-mm")</f>
        <v/>
      </c>
      <c r="J77" s="88">
        <f>IF(D77="","",IF(AND(D77="Ingreso",H77&gt;0),"OK",IF(AND(D77="Gasto",H77&lt;0),"OK","⚠ Revisar signo")))</f>
        <v/>
      </c>
    </row>
    <row r="78" ht="15" customHeight="1" s="59">
      <c r="A78" s="83" t="n">
        <v>46119</v>
      </c>
      <c r="B78" s="84" t="inlineStr">
        <is>
          <t>UUO-808</t>
        </is>
      </c>
      <c r="C78" s="84" t="inlineStr">
        <is>
          <t>José Daniel Otálvaro</t>
        </is>
      </c>
      <c r="D78" s="84" t="inlineStr">
        <is>
          <t>Gasto</t>
        </is>
      </c>
      <c r="E78" s="84" t="inlineStr">
        <is>
          <t>Repuesto</t>
        </is>
      </c>
      <c r="F78" s="85" t="inlineStr">
        <is>
          <t>Filtro de aire acondicionado</t>
        </is>
      </c>
      <c r="G78" s="86" t="n"/>
      <c r="H78" s="87" t="n">
        <v>-26000</v>
      </c>
      <c r="I78" s="88">
        <f>TEXT(A78,"yyyy-mm")</f>
        <v/>
      </c>
      <c r="J78" s="88">
        <f>IF(D78="","",IF(AND(D78="Ingreso",H78&gt;0),"OK",IF(AND(D78="Gasto",H78&lt;0),"OK","⚠ Revisar signo")))</f>
        <v/>
      </c>
    </row>
    <row r="79" ht="15" customHeight="1" s="59">
      <c r="A79" s="83" t="n">
        <v>46120</v>
      </c>
      <c r="B79" s="84" t="inlineStr">
        <is>
          <t>UUO-808</t>
        </is>
      </c>
      <c r="C79" s="84" t="inlineStr">
        <is>
          <t>José Daniel Otálvaro</t>
        </is>
      </c>
      <c r="D79" s="84" t="inlineStr">
        <is>
          <t>Ingreso</t>
        </is>
      </c>
      <c r="E79" s="84" t="inlineStr">
        <is>
          <t>Liquidación</t>
        </is>
      </c>
      <c r="F79" s="85" t="inlineStr">
        <is>
          <t>Liquidación semana del 08 al 14 de abril (83.535 Km)</t>
        </is>
      </c>
      <c r="G79" s="86" t="n"/>
      <c r="H79" s="87" t="n">
        <v>440000</v>
      </c>
      <c r="I79" s="88">
        <f>TEXT(A79,"yyyy-mm")</f>
        <v/>
      </c>
      <c r="J79" s="88">
        <f>IF(D79="","",IF(AND(D79="Ingreso",H79&gt;0),"OK",IF(AND(D79="Gasto",H79&lt;0),"OK","⚠ Revisar signo")))</f>
        <v/>
      </c>
    </row>
    <row r="80" ht="15" customHeight="1" s="59">
      <c r="A80" s="83" t="n">
        <v>46120</v>
      </c>
      <c r="B80" s="84" t="inlineStr">
        <is>
          <t>UUO-808</t>
        </is>
      </c>
      <c r="C80" s="84" t="inlineStr">
        <is>
          <t>Juan Pablo Bayona Areiza</t>
        </is>
      </c>
      <c r="D80" s="84" t="inlineStr">
        <is>
          <t>Gasto</t>
        </is>
      </c>
      <c r="E80" s="84" t="inlineStr">
        <is>
          <t>Gasto administrativo</t>
        </is>
      </c>
      <c r="F80" s="85" t="inlineStr">
        <is>
          <t>Se paga administración  del 08 al 14 de abril</t>
        </is>
      </c>
      <c r="G80" s="86" t="n"/>
      <c r="H80" s="87" t="n">
        <v>-94160</v>
      </c>
      <c r="I80" s="88">
        <f>TEXT(A80,"yyyy-mm")</f>
        <v/>
      </c>
      <c r="J80" s="88">
        <f>IF(D80="","",IF(AND(D80="Ingreso",H80&gt;0),"OK",IF(AND(D80="Gasto",H80&lt;0),"OK","⚠ Revisar signo")))</f>
        <v/>
      </c>
    </row>
    <row r="81" ht="15" customHeight="1" s="59">
      <c r="A81" s="83" t="n">
        <v>46121</v>
      </c>
      <c r="B81" s="84" t="inlineStr">
        <is>
          <t>UUO-808</t>
        </is>
      </c>
      <c r="C81" s="84" t="inlineStr">
        <is>
          <t>José Daniel Otálvaro</t>
        </is>
      </c>
      <c r="D81" s="84" t="inlineStr">
        <is>
          <t>Gasto</t>
        </is>
      </c>
      <c r="E81" s="84" t="inlineStr">
        <is>
          <t>Repuesto</t>
        </is>
      </c>
      <c r="F81" s="85" t="inlineStr">
        <is>
          <t>Se compra 1/4 de aceite debido a que tiene una fuga de aceite</t>
        </is>
      </c>
      <c r="G81" s="86" t="n"/>
      <c r="H81" s="87" t="n">
        <v>-50000</v>
      </c>
      <c r="I81" s="88">
        <f>TEXT(A81,"yyyy-mm")</f>
        <v/>
      </c>
      <c r="J81" s="88">
        <f>IF(D81="","",IF(AND(D81="Ingreso",H81&gt;0),"OK",IF(AND(D81="Gasto",H81&lt;0),"OK","⚠ Revisar signo")))</f>
        <v/>
      </c>
    </row>
    <row r="82" ht="15" customHeight="1" s="59">
      <c r="A82" s="83" t="n">
        <v>46121</v>
      </c>
      <c r="B82" s="84" t="inlineStr">
        <is>
          <t>UUO-808</t>
        </is>
      </c>
      <c r="C82" s="84" t="inlineStr">
        <is>
          <t>José Daniel Otálvaro</t>
        </is>
      </c>
      <c r="D82" s="84" t="inlineStr">
        <is>
          <t>Gasto</t>
        </is>
      </c>
      <c r="E82" s="84" t="inlineStr">
        <is>
          <t>Mantenimiento</t>
        </is>
      </c>
      <c r="F82" s="85" t="inlineStr">
        <is>
          <t>Se le realiza cambio de aceite</t>
        </is>
      </c>
      <c r="G82" s="86" t="n"/>
      <c r="H82" s="87" t="n">
        <v>-200000</v>
      </c>
      <c r="I82" s="88">
        <f>TEXT(A82,"yyyy-mm")</f>
        <v/>
      </c>
      <c r="J82" s="88">
        <f>IF(D82="","",IF(AND(D82="Ingreso",H82&gt;0),"OK",IF(AND(D82="Gasto",H82&lt;0),"OK","⚠ Revisar signo")))</f>
        <v/>
      </c>
    </row>
    <row r="83" ht="15" customHeight="1" s="59">
      <c r="A83" s="83" t="n">
        <v>46121</v>
      </c>
      <c r="B83" s="84" t="inlineStr">
        <is>
          <t>UUO-808</t>
        </is>
      </c>
      <c r="C83" s="84" t="inlineStr">
        <is>
          <t>José Daniel Otálvaro</t>
        </is>
      </c>
      <c r="D83" s="84" t="inlineStr">
        <is>
          <t>Gasto</t>
        </is>
      </c>
      <c r="E83" s="84" t="inlineStr">
        <is>
          <t>Mantenimiento</t>
        </is>
      </c>
      <c r="F83" s="85" t="inlineStr">
        <is>
          <t>Se manda a arreglar la manguera del aire acondicionado</t>
        </is>
      </c>
      <c r="G83" s="86" t="n"/>
      <c r="H83" s="87" t="n">
        <v>-130000</v>
      </c>
      <c r="I83" s="88">
        <f>TEXT(A83,"yyyy-mm")</f>
        <v/>
      </c>
      <c r="J83" s="88">
        <f>IF(D83="","",IF(AND(D83="Ingreso",H83&gt;0),"OK",IF(AND(D83="Gasto",H83&lt;0),"OK","⚠ Revisar signo")))</f>
        <v/>
      </c>
    </row>
    <row r="84" ht="15" customHeight="1" s="59">
      <c r="A84" s="83" t="n">
        <v>46121</v>
      </c>
      <c r="B84" s="84" t="inlineStr">
        <is>
          <t>UUO-808</t>
        </is>
      </c>
      <c r="C84" s="84" t="inlineStr">
        <is>
          <t>José Daniel Otálvaro</t>
        </is>
      </c>
      <c r="D84" s="84" t="inlineStr">
        <is>
          <t>Gasto</t>
        </is>
      </c>
      <c r="E84" s="84" t="inlineStr">
        <is>
          <t>Repuesto</t>
        </is>
      </c>
      <c r="F84" s="85" t="inlineStr">
        <is>
          <t>Se pagan latas de aire acondicionado</t>
        </is>
      </c>
      <c r="G84" s="86" t="n"/>
      <c r="H84" s="87" t="n">
        <v>-60000</v>
      </c>
      <c r="I84" s="88">
        <f>TEXT(A84,"yyyy-mm")</f>
        <v/>
      </c>
      <c r="J84" s="88">
        <f>IF(D84="","",IF(AND(D84="Ingreso",H84&gt;0),"OK",IF(AND(D84="Gasto",H84&lt;0),"OK","⚠ Revisar signo")))</f>
        <v/>
      </c>
    </row>
    <row r="85" ht="15" customHeight="1" s="59">
      <c r="A85" s="83" t="n">
        <v>46121</v>
      </c>
      <c r="B85" s="84" t="inlineStr">
        <is>
          <t>UUO-808</t>
        </is>
      </c>
      <c r="C85" s="84" t="inlineStr">
        <is>
          <t>José Daniel Otálvaro</t>
        </is>
      </c>
      <c r="D85" s="84" t="inlineStr">
        <is>
          <t>Gasto</t>
        </is>
      </c>
      <c r="E85" s="84" t="inlineStr">
        <is>
          <t>Mano de obra</t>
        </is>
      </c>
      <c r="F85" s="85" t="inlineStr">
        <is>
          <t>Mano de obra del cambio de aceite y arreglo de aire acondicionado</t>
        </is>
      </c>
      <c r="G85" s="86" t="n"/>
      <c r="H85" s="87" t="n">
        <v>-80000</v>
      </c>
      <c r="I85" s="88">
        <f>TEXT(A85,"yyyy-mm")</f>
        <v/>
      </c>
      <c r="J85" s="88">
        <f>IF(D85="","",IF(AND(D85="Ingreso",H85&gt;0),"OK",IF(AND(D85="Gasto",H85&lt;0),"OK","⚠ Revisar signo")))</f>
        <v/>
      </c>
    </row>
    <row r="86" ht="15" customHeight="1" s="59">
      <c r="A86" s="83" t="n">
        <v>46123</v>
      </c>
      <c r="B86" s="84" t="inlineStr">
        <is>
          <t>UUO-808</t>
        </is>
      </c>
      <c r="C86" s="84" t="inlineStr">
        <is>
          <t>José Daniel Otálvaro</t>
        </is>
      </c>
      <c r="D86" s="84" t="inlineStr">
        <is>
          <t>Gasto</t>
        </is>
      </c>
      <c r="E86" s="84" t="inlineStr">
        <is>
          <t>Repuesto</t>
        </is>
      </c>
      <c r="F86" s="85" t="inlineStr">
        <is>
          <t>Se compra válvula PCV</t>
        </is>
      </c>
      <c r="G86" s="86" t="n"/>
      <c r="H86" s="87" t="n">
        <v>-35000</v>
      </c>
      <c r="I86" s="88">
        <f>TEXT(A86,"yyyy-mm")</f>
        <v/>
      </c>
      <c r="J86" s="88">
        <f>IF(D86="","",IF(AND(D86="Ingreso",H86&gt;0),"OK",IF(AND(D86="Gasto",H86&lt;0),"OK","⚠ Revisar signo")))</f>
        <v/>
      </c>
    </row>
    <row r="87" ht="15" customHeight="1" s="59">
      <c r="A87" s="83" t="n">
        <v>46123</v>
      </c>
      <c r="B87" s="84" t="inlineStr">
        <is>
          <t>UUO-808</t>
        </is>
      </c>
      <c r="C87" s="84" t="inlineStr">
        <is>
          <t>José Daniel Otálvaro</t>
        </is>
      </c>
      <c r="D87" s="84" t="inlineStr">
        <is>
          <t>Gasto</t>
        </is>
      </c>
      <c r="E87" s="84" t="inlineStr">
        <is>
          <t>Repuesto</t>
        </is>
      </c>
      <c r="F87" s="85" t="inlineStr">
        <is>
          <t>Reténedor eje lado caja derecho e izquierdo</t>
        </is>
      </c>
      <c r="G87" s="86" t="n"/>
      <c r="H87" s="87" t="n">
        <v>-110000</v>
      </c>
      <c r="I87" s="88">
        <f>TEXT(A87,"yyyy-mm")</f>
        <v/>
      </c>
      <c r="J87" s="88">
        <f>IF(D87="","",IF(AND(D87="Ingreso",H87&gt;0),"OK",IF(AND(D87="Gasto",H87&lt;0),"OK","⚠ Revisar signo")))</f>
        <v/>
      </c>
    </row>
    <row r="88" ht="15" customHeight="1" s="59">
      <c r="A88" s="83" t="n">
        <v>46123</v>
      </c>
      <c r="B88" s="84" t="inlineStr">
        <is>
          <t>UUO-808</t>
        </is>
      </c>
      <c r="C88" s="84" t="inlineStr">
        <is>
          <t>José Daniel Otálvaro</t>
        </is>
      </c>
      <c r="D88" s="84" t="inlineStr">
        <is>
          <t>Gasto</t>
        </is>
      </c>
      <c r="E88" s="84" t="inlineStr">
        <is>
          <t>Repuesto</t>
        </is>
      </c>
      <c r="F88" s="85" t="inlineStr">
        <is>
          <t>Se compra retenedor cigüeñal trasero</t>
        </is>
      </c>
      <c r="G88" s="86" t="n"/>
      <c r="H88" s="87" t="n">
        <v>-70000</v>
      </c>
      <c r="I88" s="88">
        <f>TEXT(A88,"yyyy-mm")</f>
        <v/>
      </c>
      <c r="J88" s="88">
        <f>IF(D88="","",IF(AND(D88="Ingreso",H88&gt;0),"OK",IF(AND(D88="Gasto",H88&lt;0),"OK","⚠ Revisar signo")))</f>
        <v/>
      </c>
    </row>
    <row r="89" ht="15" customHeight="1" s="59">
      <c r="A89" s="83" t="n">
        <v>46123</v>
      </c>
      <c r="B89" s="84" t="inlineStr">
        <is>
          <t>UUO-808</t>
        </is>
      </c>
      <c r="C89" s="84" t="inlineStr">
        <is>
          <t>José Daniel Otálvaro</t>
        </is>
      </c>
      <c r="D89" s="84" t="inlineStr">
        <is>
          <t>Gasto</t>
        </is>
      </c>
      <c r="E89" s="84" t="inlineStr">
        <is>
          <t>Mantenimiento</t>
        </is>
      </c>
      <c r="F89" s="85" t="inlineStr">
        <is>
          <t>Se compra gasolina para lavar la caja</t>
        </is>
      </c>
      <c r="G89" s="86" t="n"/>
      <c r="H89" s="87" t="n">
        <v>-16030</v>
      </c>
      <c r="I89" s="88">
        <f>TEXT(A89,"yyyy-mm")</f>
        <v/>
      </c>
      <c r="J89" s="88">
        <f>IF(D89="","",IF(AND(D89="Ingreso",H89&gt;0),"OK",IF(AND(D89="Gasto",H89&lt;0),"OK","⚠ Revisar signo")))</f>
        <v/>
      </c>
    </row>
    <row r="90" ht="15" customHeight="1" s="59">
      <c r="A90" s="83" t="n">
        <v>46123</v>
      </c>
      <c r="B90" s="84" t="inlineStr">
        <is>
          <t>UUO-808</t>
        </is>
      </c>
      <c r="C90" s="84" t="inlineStr">
        <is>
          <t>José Daniel Otálvaro</t>
        </is>
      </c>
      <c r="D90" s="84" t="inlineStr">
        <is>
          <t>Gasto</t>
        </is>
      </c>
      <c r="E90" s="84" t="inlineStr">
        <is>
          <t>Repuesto</t>
        </is>
      </c>
      <c r="F90" s="85" t="inlineStr">
        <is>
          <t>Retenedor del propulsor</t>
        </is>
      </c>
      <c r="G90" s="86" t="n"/>
      <c r="H90" s="87" t="n">
        <v>-20000</v>
      </c>
      <c r="I90" s="88">
        <f>TEXT(A90,"yyyy-mm")</f>
        <v/>
      </c>
      <c r="J90" s="88">
        <f>IF(D90="","",IF(AND(D90="Ingreso",H90&gt;0),"OK",IF(AND(D90="Gasto",H90&lt;0),"OK","⚠ Revisar signo")))</f>
        <v/>
      </c>
    </row>
    <row r="91" ht="15" customHeight="1" s="59">
      <c r="A91" s="83" t="n">
        <v>46126</v>
      </c>
      <c r="B91" s="84" t="inlineStr">
        <is>
          <t>UUO-808</t>
        </is>
      </c>
      <c r="C91" s="84" t="inlineStr">
        <is>
          <t>José Daniel Otálvaro</t>
        </is>
      </c>
      <c r="D91" s="84" t="inlineStr">
        <is>
          <t>Gasto</t>
        </is>
      </c>
      <c r="E91" s="84" t="inlineStr">
        <is>
          <t>Repuesto</t>
        </is>
      </c>
      <c r="F91" s="85" t="inlineStr">
        <is>
          <t>Punta del eje lado izquierdo</t>
        </is>
      </c>
      <c r="G91" s="86" t="n"/>
      <c r="H91" s="87" t="n">
        <v>-150000</v>
      </c>
      <c r="I91" s="88">
        <f>TEXT(A91,"yyyy-mm")</f>
        <v/>
      </c>
      <c r="J91" s="88">
        <f>IF(D91="","",IF(AND(D91="Ingreso",H91&gt;0),"OK",IF(AND(D91="Gasto",H91&lt;0),"OK","⚠ Revisar signo")))</f>
        <v/>
      </c>
    </row>
    <row r="92" ht="15" customHeight="1" s="59">
      <c r="A92" s="83" t="n">
        <v>46127</v>
      </c>
      <c r="B92" s="84" t="inlineStr">
        <is>
          <t>UUO-808</t>
        </is>
      </c>
      <c r="C92" s="84" t="inlineStr">
        <is>
          <t>José Daniel Otálvaro</t>
        </is>
      </c>
      <c r="D92" s="84" t="inlineStr">
        <is>
          <t>Ingreso</t>
        </is>
      </c>
      <c r="E92" s="84" t="inlineStr">
        <is>
          <t>Liquidación</t>
        </is>
      </c>
      <c r="F92" s="85" t="inlineStr">
        <is>
          <t>Se pagan los días miércoles 8 y jueves 9 de abril</t>
        </is>
      </c>
      <c r="G92" s="86" t="n"/>
      <c r="H92" s="87" t="n">
        <v>160000</v>
      </c>
      <c r="I92" s="88">
        <f>TEXT(A92,"yyyy-mm")</f>
        <v/>
      </c>
      <c r="J92" s="88">
        <f>IF(D92="","",IF(AND(D92="Ingreso",H92&gt;0),"OK",IF(AND(D92="Gasto",H92&lt;0),"OK","⚠ Revisar signo")))</f>
        <v/>
      </c>
    </row>
    <row r="93" ht="15" customHeight="1" s="59">
      <c r="A93" s="83" t="n">
        <v>46127</v>
      </c>
      <c r="B93" s="84" t="inlineStr">
        <is>
          <t>UUO-808</t>
        </is>
      </c>
      <c r="C93" s="84" t="inlineStr">
        <is>
          <t>Juan Pablo Bayona Areiza</t>
        </is>
      </c>
      <c r="D93" s="84" t="inlineStr">
        <is>
          <t>Gasto</t>
        </is>
      </c>
      <c r="E93" s="84" t="inlineStr">
        <is>
          <t>Gasto administrativo</t>
        </is>
      </c>
      <c r="F93" s="85" t="inlineStr">
        <is>
          <t>Se paga administración los días miércoles 8 y jueves 9 de abril</t>
        </is>
      </c>
      <c r="G93" s="86" t="n"/>
      <c r="H93" s="87" t="n">
        <v>-34240</v>
      </c>
      <c r="I93" s="88">
        <f>TEXT(A93,"yyyy-mm")</f>
        <v/>
      </c>
      <c r="J93" s="88">
        <f>IF(D93="","",IF(AND(D93="Ingreso",H93&gt;0),"OK",IF(AND(D93="Gasto",H93&lt;0),"OK","⚠ Revisar signo")))</f>
        <v/>
      </c>
    </row>
    <row r="94" ht="15" customHeight="1" s="59">
      <c r="A94" s="83" t="n">
        <v>46128</v>
      </c>
      <c r="B94" s="84" t="inlineStr">
        <is>
          <t>UUO-808</t>
        </is>
      </c>
      <c r="C94" s="84" t="inlineStr">
        <is>
          <t>José Daniel Otálvaro</t>
        </is>
      </c>
      <c r="D94" s="84" t="inlineStr">
        <is>
          <t>Gasto</t>
        </is>
      </c>
      <c r="E94" s="84" t="inlineStr">
        <is>
          <t>Repuesto</t>
        </is>
      </c>
      <c r="F94" s="85" t="inlineStr">
        <is>
          <t>Retenedor del damper</t>
        </is>
      </c>
      <c r="G94" s="86" t="n"/>
      <c r="H94" s="87" t="n">
        <v>-30000</v>
      </c>
      <c r="I94" s="88">
        <f>TEXT(A94,"yyyy-mm")</f>
        <v/>
      </c>
      <c r="J94" s="88">
        <f>IF(D94="","",IF(AND(D94="Ingreso",H94&gt;0),"OK",IF(AND(D94="Gasto",H94&lt;0),"OK","⚠ Revisar signo")))</f>
        <v/>
      </c>
    </row>
    <row r="95" ht="15" customHeight="1" s="59">
      <c r="A95" s="75" t="n"/>
      <c r="B95" s="74" t="n"/>
      <c r="C95" s="74" t="n"/>
      <c r="D95" s="74" t="n"/>
      <c r="E95" s="74" t="n"/>
      <c r="F95" s="74" t="n"/>
      <c r="G95" s="89" t="n"/>
      <c r="H95" s="79" t="n"/>
      <c r="I95" s="90">
        <f>IF(A95="","",TEXT(A95,"yyyy-mm"))</f>
        <v/>
      </c>
      <c r="J95" s="90">
        <f>IF(D95="","",IF(AND(D95="Ingreso",H95&gt;0),"OK",IF(AND(D95="Gasto",H95&lt;0),"OK","⚠ Revisar signo")))</f>
        <v/>
      </c>
    </row>
    <row r="96" ht="15" customHeight="1" s="59">
      <c r="A96" s="75" t="n"/>
      <c r="B96" s="74" t="n"/>
      <c r="C96" s="74" t="n"/>
      <c r="D96" s="74" t="n"/>
      <c r="E96" s="74" t="n"/>
      <c r="F96" s="74" t="n"/>
      <c r="G96" s="89" t="n"/>
      <c r="H96" s="79" t="n"/>
      <c r="I96" s="90">
        <f>IF(A96="","",TEXT(A96,"yyyy-mm"))</f>
        <v/>
      </c>
      <c r="J96" s="90">
        <f>IF(D96="","",IF(AND(D96="Ingreso",H96&gt;0),"OK",IF(AND(D96="Gasto",H96&lt;0),"OK","⚠ Revisar signo")))</f>
        <v/>
      </c>
    </row>
    <row r="97" ht="15" customHeight="1" s="59">
      <c r="A97" s="75" t="n"/>
      <c r="B97" s="74" t="n"/>
      <c r="C97" s="74" t="n"/>
      <c r="D97" s="74" t="n"/>
      <c r="E97" s="74" t="n"/>
      <c r="F97" s="74" t="n"/>
      <c r="G97" s="89" t="n"/>
      <c r="H97" s="79" t="n"/>
      <c r="I97" s="90">
        <f>IF(A97="","",TEXT(A97,"yyyy-mm"))</f>
        <v/>
      </c>
      <c r="J97" s="90">
        <f>IF(D97="","",IF(AND(D97="Ingreso",H97&gt;0),"OK",IF(AND(D97="Gasto",H97&lt;0),"OK","⚠ Revisar signo")))</f>
        <v/>
      </c>
    </row>
    <row r="98" ht="15" customHeight="1" s="59">
      <c r="A98" s="75" t="n"/>
      <c r="B98" s="74" t="n"/>
      <c r="C98" s="74" t="n"/>
      <c r="D98" s="74" t="n"/>
      <c r="E98" s="74" t="n"/>
      <c r="F98" s="74" t="n"/>
      <c r="G98" s="89" t="n"/>
      <c r="H98" s="79" t="n"/>
      <c r="I98" s="90">
        <f>IF(A98="","",TEXT(A98,"yyyy-mm"))</f>
        <v/>
      </c>
      <c r="J98" s="90">
        <f>IF(D98="","",IF(AND(D98="Ingreso",H98&gt;0),"OK",IF(AND(D98="Gasto",H98&lt;0),"OK","⚠ Revisar signo")))</f>
        <v/>
      </c>
    </row>
    <row r="99" ht="15" customHeight="1" s="59">
      <c r="A99" s="75" t="n"/>
      <c r="B99" s="74" t="n"/>
      <c r="C99" s="74" t="n"/>
      <c r="D99" s="74" t="n"/>
      <c r="E99" s="74" t="n"/>
      <c r="F99" s="74" t="n"/>
      <c r="G99" s="89" t="n"/>
      <c r="H99" s="79" t="n"/>
      <c r="I99" s="90">
        <f>IF(A99="","",TEXT(A99,"yyyy-mm"))</f>
        <v/>
      </c>
      <c r="J99" s="90">
        <f>IF(D99="","",IF(AND(D99="Ingreso",H99&gt;0),"OK",IF(AND(D99="Gasto",H99&lt;0),"OK","⚠ Revisar signo")))</f>
        <v/>
      </c>
    </row>
    <row r="100" ht="15" customHeight="1" s="59">
      <c r="A100" s="75" t="n"/>
      <c r="B100" s="74" t="n"/>
      <c r="C100" s="74" t="n"/>
      <c r="D100" s="74" t="n"/>
      <c r="E100" s="74" t="n"/>
      <c r="F100" s="74" t="n"/>
      <c r="G100" s="89" t="n"/>
      <c r="H100" s="79" t="n"/>
      <c r="I100" s="90">
        <f>IF(A100="","",TEXT(A100,"yyyy-mm"))</f>
        <v/>
      </c>
      <c r="J100" s="90">
        <f>IF(D100="","",IF(AND(D100="Ingreso",H100&gt;0),"OK",IF(AND(D100="Gasto",H100&lt;0),"OK","⚠ Revisar signo")))</f>
        <v/>
      </c>
    </row>
    <row r="101" ht="15" customHeight="1" s="59">
      <c r="A101" s="75" t="n"/>
      <c r="B101" s="74" t="n"/>
      <c r="C101" s="74" t="n"/>
      <c r="D101" s="74" t="n"/>
      <c r="E101" s="74" t="n"/>
      <c r="F101" s="74" t="n"/>
      <c r="G101" s="89" t="n"/>
      <c r="H101" s="79" t="n"/>
      <c r="I101" s="90">
        <f>IF(A101="","",TEXT(A101,"yyyy-mm"))</f>
        <v/>
      </c>
      <c r="J101" s="90">
        <f>IF(D101="","",IF(AND(D101="Ingreso",H101&gt;0),"OK",IF(AND(D101="Gasto",H101&lt;0),"OK","⚠ Revisar signo")))</f>
        <v/>
      </c>
    </row>
    <row r="102" ht="15" customHeight="1" s="59">
      <c r="A102" s="75" t="n"/>
      <c r="B102" s="74" t="n"/>
      <c r="C102" s="74" t="n"/>
      <c r="D102" s="74" t="n"/>
      <c r="E102" s="74" t="n"/>
      <c r="F102" s="74" t="n"/>
      <c r="G102" s="89" t="n"/>
      <c r="H102" s="79" t="n"/>
      <c r="I102" s="90">
        <f>IF(A102="","",TEXT(A102,"yyyy-mm"))</f>
        <v/>
      </c>
      <c r="J102" s="90">
        <f>IF(D102="","",IF(AND(D102="Ingreso",H102&gt;0),"OK",IF(AND(D102="Gasto",H102&lt;0),"OK","⚠ Revisar signo")))</f>
        <v/>
      </c>
    </row>
    <row r="103" ht="15" customHeight="1" s="59">
      <c r="A103" s="75" t="n"/>
      <c r="B103" s="74" t="n"/>
      <c r="C103" s="74" t="n"/>
      <c r="D103" s="74" t="n"/>
      <c r="E103" s="74" t="n"/>
      <c r="F103" s="74" t="n"/>
      <c r="G103" s="89" t="n"/>
      <c r="H103" s="79" t="n"/>
      <c r="I103" s="90">
        <f>IF(A103="","",TEXT(A103,"yyyy-mm"))</f>
        <v/>
      </c>
      <c r="J103" s="90">
        <f>IF(D103="","",IF(AND(D103="Ingreso",H103&gt;0),"OK",IF(AND(D103="Gasto",H103&lt;0),"OK","⚠ Revisar signo")))</f>
        <v/>
      </c>
    </row>
    <row r="104" ht="15" customHeight="1" s="59">
      <c r="A104" s="75" t="n"/>
      <c r="B104" s="74" t="n"/>
      <c r="C104" s="74" t="n"/>
      <c r="D104" s="74" t="n"/>
      <c r="E104" s="74" t="n"/>
      <c r="F104" s="74" t="n"/>
      <c r="G104" s="89" t="n"/>
      <c r="H104" s="79" t="n"/>
      <c r="I104" s="90">
        <f>IF(A104="","",TEXT(A104,"yyyy-mm"))</f>
        <v/>
      </c>
      <c r="J104" s="90">
        <f>IF(D104="","",IF(AND(D104="Ingreso",H104&gt;0),"OK",IF(AND(D104="Gasto",H104&lt;0),"OK","⚠ Revisar signo")))</f>
        <v/>
      </c>
    </row>
    <row r="105" ht="15" customHeight="1" s="59">
      <c r="A105" s="75" t="n"/>
      <c r="B105" s="74" t="n"/>
      <c r="C105" s="74" t="n"/>
      <c r="D105" s="74" t="n"/>
      <c r="E105" s="74" t="n"/>
      <c r="F105" s="74" t="n"/>
      <c r="G105" s="89" t="n"/>
      <c r="H105" s="79" t="n"/>
      <c r="I105" s="90">
        <f>IF(A105="","",TEXT(A105,"yyyy-mm"))</f>
        <v/>
      </c>
      <c r="J105" s="90">
        <f>IF(D105="","",IF(AND(D105="Ingreso",H105&gt;0),"OK",IF(AND(D105="Gasto",H105&lt;0),"OK","⚠ Revisar signo")))</f>
        <v/>
      </c>
    </row>
    <row r="106" ht="15" customHeight="1" s="59">
      <c r="A106" s="75" t="n"/>
      <c r="B106" s="74" t="n"/>
      <c r="C106" s="74" t="n"/>
      <c r="D106" s="74" t="n"/>
      <c r="E106" s="74" t="n"/>
      <c r="F106" s="74" t="n"/>
      <c r="G106" s="89" t="n"/>
      <c r="H106" s="79" t="n"/>
      <c r="I106" s="90">
        <f>IF(A106="","",TEXT(A106,"yyyy-mm"))</f>
        <v/>
      </c>
      <c r="J106" s="90">
        <f>IF(D106="","",IF(AND(D106="Ingreso",H106&gt;0),"OK",IF(AND(D106="Gasto",H106&lt;0),"OK","⚠ Revisar signo")))</f>
        <v/>
      </c>
    </row>
    <row r="107" ht="15" customHeight="1" s="59">
      <c r="A107" s="75" t="n"/>
      <c r="B107" s="74" t="n"/>
      <c r="C107" s="74" t="n"/>
      <c r="D107" s="74" t="n"/>
      <c r="E107" s="74" t="n"/>
      <c r="F107" s="74" t="n"/>
      <c r="G107" s="89" t="n"/>
      <c r="H107" s="79" t="n"/>
      <c r="I107" s="90">
        <f>IF(A107="","",TEXT(A107,"yyyy-mm"))</f>
        <v/>
      </c>
      <c r="J107" s="90">
        <f>IF(D107="","",IF(AND(D107="Ingreso",H107&gt;0),"OK",IF(AND(D107="Gasto",H107&lt;0),"OK","⚠ Revisar signo")))</f>
        <v/>
      </c>
    </row>
    <row r="108" ht="15" customHeight="1" s="59">
      <c r="A108" s="75" t="n"/>
      <c r="B108" s="74" t="n"/>
      <c r="C108" s="74" t="n"/>
      <c r="D108" s="74" t="n"/>
      <c r="E108" s="74" t="n"/>
      <c r="F108" s="74" t="n"/>
      <c r="G108" s="89" t="n"/>
      <c r="H108" s="79" t="n"/>
      <c r="I108" s="90">
        <f>IF(A108="","",TEXT(A108,"yyyy-mm"))</f>
        <v/>
      </c>
      <c r="J108" s="90">
        <f>IF(D108="","",IF(AND(D108="Ingreso",H108&gt;0),"OK",IF(AND(D108="Gasto",H108&lt;0),"OK","⚠ Revisar signo")))</f>
        <v/>
      </c>
    </row>
    <row r="109" ht="15" customHeight="1" s="59">
      <c r="A109" s="75" t="n"/>
      <c r="B109" s="74" t="n"/>
      <c r="C109" s="74" t="n"/>
      <c r="D109" s="74" t="n"/>
      <c r="E109" s="74" t="n"/>
      <c r="F109" s="74" t="n"/>
      <c r="G109" s="89" t="n"/>
      <c r="H109" s="79" t="n"/>
      <c r="I109" s="90">
        <f>IF(A109="","",TEXT(A109,"yyyy-mm"))</f>
        <v/>
      </c>
      <c r="J109" s="90">
        <f>IF(D109="","",IF(AND(D109="Ingreso",H109&gt;0),"OK",IF(AND(D109="Gasto",H109&lt;0),"OK","⚠ Revisar signo")))</f>
        <v/>
      </c>
    </row>
    <row r="110" ht="15" customHeight="1" s="59">
      <c r="A110" s="75" t="n"/>
      <c r="B110" s="74" t="n"/>
      <c r="C110" s="74" t="n"/>
      <c r="D110" s="74" t="n"/>
      <c r="E110" s="74" t="n"/>
      <c r="F110" s="74" t="n"/>
      <c r="G110" s="89" t="n"/>
      <c r="H110" s="79" t="n"/>
      <c r="I110" s="90">
        <f>IF(A110="","",TEXT(A110,"yyyy-mm"))</f>
        <v/>
      </c>
      <c r="J110" s="90">
        <f>IF(D110="","",IF(AND(D110="Ingreso",H110&gt;0),"OK",IF(AND(D110="Gasto",H110&lt;0),"OK","⚠ Revisar signo")))</f>
        <v/>
      </c>
    </row>
    <row r="111" ht="15" customHeight="1" s="59">
      <c r="A111" s="75" t="n"/>
      <c r="B111" s="74" t="n"/>
      <c r="C111" s="74" t="n"/>
      <c r="D111" s="74" t="n"/>
      <c r="E111" s="74" t="n"/>
      <c r="F111" s="74" t="n"/>
      <c r="G111" s="89" t="n"/>
      <c r="H111" s="79" t="n"/>
      <c r="I111" s="90">
        <f>IF(A111="","",TEXT(A111,"yyyy-mm"))</f>
        <v/>
      </c>
      <c r="J111" s="90">
        <f>IF(D111="","",IF(AND(D111="Ingreso",H111&gt;0),"OK",IF(AND(D111="Gasto",H111&lt;0),"OK","⚠ Revisar signo")))</f>
        <v/>
      </c>
    </row>
    <row r="112" ht="15" customHeight="1" s="59">
      <c r="A112" s="75" t="n"/>
      <c r="B112" s="74" t="n"/>
      <c r="C112" s="74" t="n"/>
      <c r="D112" s="74" t="n"/>
      <c r="E112" s="74" t="n"/>
      <c r="F112" s="74" t="n"/>
      <c r="G112" s="89" t="n"/>
      <c r="H112" s="79" t="n"/>
      <c r="I112" s="90">
        <f>IF(A112="","",TEXT(A112,"yyyy-mm"))</f>
        <v/>
      </c>
      <c r="J112" s="90">
        <f>IF(D112="","",IF(AND(D112="Ingreso",H112&gt;0),"OK",IF(AND(D112="Gasto",H112&lt;0),"OK","⚠ Revisar signo")))</f>
        <v/>
      </c>
    </row>
    <row r="113" ht="15" customHeight="1" s="59">
      <c r="A113" s="75" t="n"/>
      <c r="B113" s="74" t="n"/>
      <c r="C113" s="74" t="n"/>
      <c r="D113" s="74" t="n"/>
      <c r="E113" s="74" t="n"/>
      <c r="F113" s="74" t="n"/>
      <c r="G113" s="89" t="n"/>
      <c r="H113" s="79" t="n"/>
      <c r="I113" s="90">
        <f>IF(A113="","",TEXT(A113,"yyyy-mm"))</f>
        <v/>
      </c>
      <c r="J113" s="90">
        <f>IF(D113="","",IF(AND(D113="Ingreso",H113&gt;0),"OK",IF(AND(D113="Gasto",H113&lt;0),"OK","⚠ Revisar signo")))</f>
        <v/>
      </c>
    </row>
    <row r="114" ht="15" customHeight="1" s="59">
      <c r="A114" s="75" t="n"/>
      <c r="B114" s="74" t="n"/>
      <c r="C114" s="74" t="n"/>
      <c r="D114" s="74" t="n"/>
      <c r="E114" s="74" t="n"/>
      <c r="F114" s="74" t="n"/>
      <c r="G114" s="89" t="n"/>
      <c r="H114" s="79" t="n"/>
      <c r="I114" s="90">
        <f>IF(A114="","",TEXT(A114,"yyyy-mm"))</f>
        <v/>
      </c>
      <c r="J114" s="90">
        <f>IF(D114="","",IF(AND(D114="Ingreso",H114&gt;0),"OK",IF(AND(D114="Gasto",H114&lt;0),"OK","⚠ Revisar signo")))</f>
        <v/>
      </c>
    </row>
    <row r="115" ht="15" customHeight="1" s="59">
      <c r="A115" s="75" t="n"/>
      <c r="B115" s="74" t="n"/>
      <c r="C115" s="74" t="n"/>
      <c r="D115" s="74" t="n"/>
      <c r="E115" s="74" t="n"/>
      <c r="F115" s="74" t="n"/>
      <c r="G115" s="89" t="n"/>
      <c r="H115" s="79" t="n"/>
      <c r="I115" s="90">
        <f>IF(A115="","",TEXT(A115,"yyyy-mm"))</f>
        <v/>
      </c>
      <c r="J115" s="90">
        <f>IF(D115="","",IF(AND(D115="Ingreso",H115&gt;0),"OK",IF(AND(D115="Gasto",H115&lt;0),"OK","⚠ Revisar signo")))</f>
        <v/>
      </c>
    </row>
    <row r="116" ht="15" customHeight="1" s="59">
      <c r="A116" s="75" t="n"/>
      <c r="B116" s="74" t="n"/>
      <c r="C116" s="74" t="n"/>
      <c r="D116" s="74" t="n"/>
      <c r="E116" s="74" t="n"/>
      <c r="F116" s="74" t="n"/>
      <c r="G116" s="89" t="n"/>
      <c r="H116" s="79" t="n"/>
      <c r="I116" s="90">
        <f>IF(A116="","",TEXT(A116,"yyyy-mm"))</f>
        <v/>
      </c>
      <c r="J116" s="90">
        <f>IF(D116="","",IF(AND(D116="Ingreso",H116&gt;0),"OK",IF(AND(D116="Gasto",H116&lt;0),"OK","⚠ Revisar signo")))</f>
        <v/>
      </c>
    </row>
    <row r="117" ht="15" customHeight="1" s="59">
      <c r="A117" s="75" t="n"/>
      <c r="B117" s="74" t="n"/>
      <c r="C117" s="74" t="n"/>
      <c r="D117" s="74" t="n"/>
      <c r="E117" s="74" t="n"/>
      <c r="F117" s="74" t="n"/>
      <c r="G117" s="89" t="n"/>
      <c r="H117" s="79" t="n"/>
      <c r="I117" s="90">
        <f>IF(A117="","",TEXT(A117,"yyyy-mm"))</f>
        <v/>
      </c>
      <c r="J117" s="90">
        <f>IF(D117="","",IF(AND(D117="Ingreso",H117&gt;0),"OK",IF(AND(D117="Gasto",H117&lt;0),"OK","⚠ Revisar signo")))</f>
        <v/>
      </c>
    </row>
    <row r="118" ht="15" customHeight="1" s="59">
      <c r="A118" s="75" t="n"/>
      <c r="B118" s="74" t="n"/>
      <c r="C118" s="74" t="n"/>
      <c r="D118" s="74" t="n"/>
      <c r="E118" s="74" t="n"/>
      <c r="F118" s="74" t="n"/>
      <c r="G118" s="89" t="n"/>
      <c r="H118" s="79" t="n"/>
      <c r="I118" s="90">
        <f>IF(A118="","",TEXT(A118,"yyyy-mm"))</f>
        <v/>
      </c>
      <c r="J118" s="90">
        <f>IF(D118="","",IF(AND(D118="Ingreso",H118&gt;0),"OK",IF(AND(D118="Gasto",H118&lt;0),"OK","⚠ Revisar signo")))</f>
        <v/>
      </c>
    </row>
    <row r="119" ht="15" customHeight="1" s="59">
      <c r="A119" s="75" t="n"/>
      <c r="B119" s="74" t="n"/>
      <c r="C119" s="74" t="n"/>
      <c r="D119" s="74" t="n"/>
      <c r="E119" s="74" t="n"/>
      <c r="F119" s="74" t="n"/>
      <c r="G119" s="89" t="n"/>
      <c r="H119" s="79" t="n"/>
      <c r="I119" s="90">
        <f>IF(A119="","",TEXT(A119,"yyyy-mm"))</f>
        <v/>
      </c>
      <c r="J119" s="90">
        <f>IF(D119="","",IF(AND(D119="Ingreso",H119&gt;0),"OK",IF(AND(D119="Gasto",H119&lt;0),"OK","⚠ Revisar signo")))</f>
        <v/>
      </c>
    </row>
    <row r="120" ht="15" customHeight="1" s="59">
      <c r="A120" s="75" t="n"/>
      <c r="B120" s="74" t="n"/>
      <c r="C120" s="74" t="n"/>
      <c r="D120" s="74" t="n"/>
      <c r="E120" s="74" t="n"/>
      <c r="F120" s="74" t="n"/>
      <c r="G120" s="89" t="n"/>
      <c r="H120" s="79" t="n"/>
      <c r="I120" s="90">
        <f>IF(A120="","",TEXT(A120,"yyyy-mm"))</f>
        <v/>
      </c>
      <c r="J120" s="90">
        <f>IF(D120="","",IF(AND(D120="Ingreso",H120&gt;0),"OK",IF(AND(D120="Gasto",H120&lt;0),"OK","⚠ Revisar signo")))</f>
        <v/>
      </c>
    </row>
    <row r="121" ht="15" customHeight="1" s="59">
      <c r="A121" s="75" t="n"/>
      <c r="B121" s="74" t="n"/>
      <c r="C121" s="74" t="n"/>
      <c r="D121" s="74" t="n"/>
      <c r="E121" s="74" t="n"/>
      <c r="F121" s="74" t="n"/>
      <c r="G121" s="89" t="n"/>
      <c r="H121" s="79" t="n"/>
      <c r="I121" s="90">
        <f>IF(A121="","",TEXT(A121,"yyyy-mm"))</f>
        <v/>
      </c>
      <c r="J121" s="90">
        <f>IF(D121="","",IF(AND(D121="Ingreso",H121&gt;0),"OK",IF(AND(D121="Gasto",H121&lt;0),"OK","⚠ Revisar signo")))</f>
        <v/>
      </c>
    </row>
    <row r="122" ht="15" customHeight="1" s="59">
      <c r="A122" s="75" t="n"/>
      <c r="B122" s="74" t="n"/>
      <c r="C122" s="74" t="n"/>
      <c r="D122" s="74" t="n"/>
      <c r="E122" s="74" t="n"/>
      <c r="F122" s="74" t="n"/>
      <c r="G122" s="89" t="n"/>
      <c r="H122" s="79" t="n"/>
      <c r="I122" s="90">
        <f>IF(A122="","",TEXT(A122,"yyyy-mm"))</f>
        <v/>
      </c>
      <c r="J122" s="90">
        <f>IF(D122="","",IF(AND(D122="Ingreso",H122&gt;0),"OK",IF(AND(D122="Gasto",H122&lt;0),"OK","⚠ Revisar signo")))</f>
        <v/>
      </c>
    </row>
    <row r="123" ht="15" customHeight="1" s="59">
      <c r="A123" s="75" t="n"/>
      <c r="B123" s="74" t="n"/>
      <c r="C123" s="74" t="n"/>
      <c r="D123" s="74" t="n"/>
      <c r="E123" s="74" t="n"/>
      <c r="F123" s="74" t="n"/>
      <c r="G123" s="89" t="n"/>
      <c r="H123" s="79" t="n"/>
      <c r="I123" s="90">
        <f>IF(A123="","",TEXT(A123,"yyyy-mm"))</f>
        <v/>
      </c>
      <c r="J123" s="90">
        <f>IF(D123="","",IF(AND(D123="Ingreso",H123&gt;0),"OK",IF(AND(D123="Gasto",H123&lt;0),"OK","⚠ Revisar signo")))</f>
        <v/>
      </c>
    </row>
    <row r="124" ht="15" customHeight="1" s="59">
      <c r="A124" s="75" t="n"/>
      <c r="B124" s="74" t="n"/>
      <c r="C124" s="74" t="n"/>
      <c r="D124" s="74" t="n"/>
      <c r="E124" s="74" t="n"/>
      <c r="F124" s="74" t="n"/>
      <c r="G124" s="89" t="n"/>
      <c r="H124" s="79" t="n"/>
      <c r="I124" s="90">
        <f>IF(A124="","",TEXT(A124,"yyyy-mm"))</f>
        <v/>
      </c>
      <c r="J124" s="90">
        <f>IF(D124="","",IF(AND(D124="Ingreso",H124&gt;0),"OK",IF(AND(D124="Gasto",H124&lt;0),"OK","⚠ Revisar signo")))</f>
        <v/>
      </c>
    </row>
    <row r="125" ht="15" customHeight="1" s="59">
      <c r="A125" s="75" t="n"/>
      <c r="B125" s="74" t="n"/>
      <c r="C125" s="74" t="n"/>
      <c r="D125" s="74" t="n"/>
      <c r="E125" s="74" t="n"/>
      <c r="F125" s="74" t="n"/>
      <c r="G125" s="89" t="n"/>
      <c r="H125" s="79" t="n"/>
      <c r="I125" s="90">
        <f>IF(A125="","",TEXT(A125,"yyyy-mm"))</f>
        <v/>
      </c>
      <c r="J125" s="90">
        <f>IF(D125="","",IF(AND(D125="Ingreso",H125&gt;0),"OK",IF(AND(D125="Gasto",H125&lt;0),"OK","⚠ Revisar signo")))</f>
        <v/>
      </c>
    </row>
    <row r="126" ht="15" customHeight="1" s="59">
      <c r="A126" s="75" t="n"/>
      <c r="B126" s="74" t="n"/>
      <c r="C126" s="74" t="n"/>
      <c r="D126" s="74" t="n"/>
      <c r="E126" s="74" t="n"/>
      <c r="F126" s="74" t="n"/>
      <c r="G126" s="89" t="n"/>
      <c r="H126" s="79" t="n"/>
      <c r="I126" s="90">
        <f>IF(A126="","",TEXT(A126,"yyyy-mm"))</f>
        <v/>
      </c>
      <c r="J126" s="90">
        <f>IF(D126="","",IF(AND(D126="Ingreso",H126&gt;0),"OK",IF(AND(D126="Gasto",H126&lt;0),"OK","⚠ Revisar signo")))</f>
        <v/>
      </c>
    </row>
    <row r="127" ht="15" customHeight="1" s="59">
      <c r="A127" s="75" t="n"/>
      <c r="B127" s="74" t="n"/>
      <c r="C127" s="74" t="n"/>
      <c r="D127" s="74" t="n"/>
      <c r="E127" s="74" t="n"/>
      <c r="F127" s="74" t="n"/>
      <c r="G127" s="89" t="n"/>
      <c r="H127" s="79" t="n"/>
      <c r="I127" s="90">
        <f>IF(A127="","",TEXT(A127,"yyyy-mm"))</f>
        <v/>
      </c>
      <c r="J127" s="90">
        <f>IF(D127="","",IF(AND(D127="Ingreso",H127&gt;0),"OK",IF(AND(D127="Gasto",H127&lt;0),"OK","⚠ Revisar signo")))</f>
        <v/>
      </c>
    </row>
    <row r="128" ht="15" customHeight="1" s="59">
      <c r="A128" s="75" t="n"/>
      <c r="B128" s="74" t="n"/>
      <c r="C128" s="74" t="n"/>
      <c r="D128" s="74" t="n"/>
      <c r="E128" s="74" t="n"/>
      <c r="F128" s="74" t="n"/>
      <c r="G128" s="89" t="n"/>
      <c r="H128" s="79" t="n"/>
      <c r="I128" s="90">
        <f>IF(A128="","",TEXT(A128,"yyyy-mm"))</f>
        <v/>
      </c>
      <c r="J128" s="90">
        <f>IF(D128="","",IF(AND(D128="Ingreso",H128&gt;0),"OK",IF(AND(D128="Gasto",H128&lt;0),"OK","⚠ Revisar signo")))</f>
        <v/>
      </c>
    </row>
    <row r="129" ht="15" customHeight="1" s="59">
      <c r="A129" s="75" t="n"/>
      <c r="B129" s="74" t="n"/>
      <c r="C129" s="74" t="n"/>
      <c r="D129" s="74" t="n"/>
      <c r="E129" s="74" t="n"/>
      <c r="F129" s="74" t="n"/>
      <c r="G129" s="89" t="n"/>
      <c r="H129" s="79" t="n"/>
      <c r="I129" s="90">
        <f>IF(A129="","",TEXT(A129,"yyyy-mm"))</f>
        <v/>
      </c>
      <c r="J129" s="90">
        <f>IF(D129="","",IF(AND(D129="Ingreso",H129&gt;0),"OK",IF(AND(D129="Gasto",H129&lt;0),"OK","⚠ Revisar signo")))</f>
        <v/>
      </c>
    </row>
    <row r="130" ht="15" customHeight="1" s="59">
      <c r="A130" s="75" t="n"/>
      <c r="B130" s="74" t="n"/>
      <c r="C130" s="74" t="n"/>
      <c r="D130" s="74" t="n"/>
      <c r="E130" s="74" t="n"/>
      <c r="F130" s="74" t="n"/>
      <c r="G130" s="89" t="n"/>
      <c r="H130" s="79" t="n"/>
      <c r="I130" s="90">
        <f>IF(A130="","",TEXT(A130,"yyyy-mm"))</f>
        <v/>
      </c>
      <c r="J130" s="90">
        <f>IF(D130="","",IF(AND(D130="Ingreso",H130&gt;0),"OK",IF(AND(D130="Gasto",H130&lt;0),"OK","⚠ Revisar signo")))</f>
        <v/>
      </c>
    </row>
    <row r="131" ht="15" customHeight="1" s="59">
      <c r="A131" s="75" t="n"/>
      <c r="B131" s="74" t="n"/>
      <c r="C131" s="74" t="n"/>
      <c r="D131" s="74" t="n"/>
      <c r="E131" s="74" t="n"/>
      <c r="F131" s="74" t="n"/>
      <c r="G131" s="89" t="n"/>
      <c r="H131" s="79" t="n"/>
      <c r="I131" s="90">
        <f>IF(A131="","",TEXT(A131,"yyyy-mm"))</f>
        <v/>
      </c>
      <c r="J131" s="90">
        <f>IF(D131="","",IF(AND(D131="Ingreso",H131&gt;0),"OK",IF(AND(D131="Gasto",H131&lt;0),"OK","⚠ Revisar signo")))</f>
        <v/>
      </c>
    </row>
    <row r="132" ht="15" customHeight="1" s="59">
      <c r="A132" s="75" t="n"/>
      <c r="B132" s="74" t="n"/>
      <c r="C132" s="74" t="n"/>
      <c r="D132" s="74" t="n"/>
      <c r="E132" s="74" t="n"/>
      <c r="F132" s="74" t="n"/>
      <c r="G132" s="89" t="n"/>
      <c r="H132" s="79" t="n"/>
      <c r="I132" s="90">
        <f>IF(A132="","",TEXT(A132,"yyyy-mm"))</f>
        <v/>
      </c>
      <c r="J132" s="90">
        <f>IF(D132="","",IF(AND(D132="Ingreso",H132&gt;0),"OK",IF(AND(D132="Gasto",H132&lt;0),"OK","⚠ Revisar signo")))</f>
        <v/>
      </c>
    </row>
    <row r="133" ht="15" customHeight="1" s="59">
      <c r="A133" s="75" t="n"/>
      <c r="B133" s="74" t="n"/>
      <c r="C133" s="74" t="n"/>
      <c r="D133" s="74" t="n"/>
      <c r="E133" s="74" t="n"/>
      <c r="F133" s="74" t="n"/>
      <c r="G133" s="89" t="n"/>
      <c r="H133" s="79" t="n"/>
      <c r="I133" s="90">
        <f>IF(A133="","",TEXT(A133,"yyyy-mm"))</f>
        <v/>
      </c>
      <c r="J133" s="90">
        <f>IF(D133="","",IF(AND(D133="Ingreso",H133&gt;0),"OK",IF(AND(D133="Gasto",H133&lt;0),"OK","⚠ Revisar signo")))</f>
        <v/>
      </c>
    </row>
    <row r="134" ht="15" customHeight="1" s="59">
      <c r="A134" s="75" t="n"/>
      <c r="B134" s="74" t="n"/>
      <c r="C134" s="74" t="n"/>
      <c r="D134" s="74" t="n"/>
      <c r="E134" s="74" t="n"/>
      <c r="F134" s="74" t="n"/>
      <c r="G134" s="89" t="n"/>
      <c r="H134" s="79" t="n"/>
      <c r="I134" s="90">
        <f>IF(A134="","",TEXT(A134,"yyyy-mm"))</f>
        <v/>
      </c>
      <c r="J134" s="90">
        <f>IF(D134="","",IF(AND(D134="Ingreso",H134&gt;0),"OK",IF(AND(D134="Gasto",H134&lt;0),"OK","⚠ Revisar signo")))</f>
        <v/>
      </c>
    </row>
    <row r="135" ht="15" customHeight="1" s="59">
      <c r="A135" s="75" t="n"/>
      <c r="B135" s="74" t="n"/>
      <c r="C135" s="74" t="n"/>
      <c r="D135" s="74" t="n"/>
      <c r="E135" s="74" t="n"/>
      <c r="F135" s="74" t="n"/>
      <c r="G135" s="89" t="n"/>
      <c r="H135" s="79" t="n"/>
      <c r="I135" s="90">
        <f>IF(A135="","",TEXT(A135,"yyyy-mm"))</f>
        <v/>
      </c>
      <c r="J135" s="90">
        <f>IF(D135="","",IF(AND(D135="Ingreso",H135&gt;0),"OK",IF(AND(D135="Gasto",H135&lt;0),"OK","⚠ Revisar signo")))</f>
        <v/>
      </c>
    </row>
    <row r="136" ht="15" customHeight="1" s="59">
      <c r="A136" s="75" t="n"/>
      <c r="B136" s="74" t="n"/>
      <c r="C136" s="74" t="n"/>
      <c r="D136" s="74" t="n"/>
      <c r="E136" s="74" t="n"/>
      <c r="F136" s="74" t="n"/>
      <c r="G136" s="89" t="n"/>
      <c r="H136" s="79" t="n"/>
      <c r="I136" s="90">
        <f>IF(A136="","",TEXT(A136,"yyyy-mm"))</f>
        <v/>
      </c>
      <c r="J136" s="90">
        <f>IF(D136="","",IF(AND(D136="Ingreso",H136&gt;0),"OK",IF(AND(D136="Gasto",H136&lt;0),"OK","⚠ Revisar signo")))</f>
        <v/>
      </c>
    </row>
    <row r="137" ht="15" customHeight="1" s="59">
      <c r="A137" s="75" t="n"/>
      <c r="B137" s="74" t="n"/>
      <c r="C137" s="74" t="n"/>
      <c r="D137" s="74" t="n"/>
      <c r="E137" s="74" t="n"/>
      <c r="F137" s="74" t="n"/>
      <c r="G137" s="89" t="n"/>
      <c r="H137" s="79" t="n"/>
      <c r="I137" s="90">
        <f>IF(A137="","",TEXT(A137,"yyyy-mm"))</f>
        <v/>
      </c>
      <c r="J137" s="90">
        <f>IF(D137="","",IF(AND(D137="Ingreso",H137&gt;0),"OK",IF(AND(D137="Gasto",H137&lt;0),"OK","⚠ Revisar signo")))</f>
        <v/>
      </c>
    </row>
    <row r="138" ht="15" customHeight="1" s="59">
      <c r="A138" s="75" t="n"/>
      <c r="B138" s="74" t="n"/>
      <c r="C138" s="74" t="n"/>
      <c r="D138" s="74" t="n"/>
      <c r="E138" s="74" t="n"/>
      <c r="F138" s="74" t="n"/>
      <c r="G138" s="89" t="n"/>
      <c r="H138" s="79" t="n"/>
      <c r="I138" s="90">
        <f>IF(A138="","",TEXT(A138,"yyyy-mm"))</f>
        <v/>
      </c>
      <c r="J138" s="90">
        <f>IF(D138="","",IF(AND(D138="Ingreso",H138&gt;0),"OK",IF(AND(D138="Gasto",H138&lt;0),"OK","⚠ Revisar signo")))</f>
        <v/>
      </c>
    </row>
    <row r="139" ht="15" customHeight="1" s="59">
      <c r="A139" s="75" t="n"/>
      <c r="B139" s="74" t="n"/>
      <c r="C139" s="74" t="n"/>
      <c r="D139" s="74" t="n"/>
      <c r="E139" s="74" t="n"/>
      <c r="F139" s="74" t="n"/>
      <c r="G139" s="89" t="n"/>
      <c r="H139" s="79" t="n"/>
      <c r="I139" s="90">
        <f>IF(A139="","",TEXT(A139,"yyyy-mm"))</f>
        <v/>
      </c>
      <c r="J139" s="90">
        <f>IF(D139="","",IF(AND(D139="Ingreso",H139&gt;0),"OK",IF(AND(D139="Gasto",H139&lt;0),"OK","⚠ Revisar signo")))</f>
        <v/>
      </c>
    </row>
    <row r="140" ht="15" customHeight="1" s="59">
      <c r="A140" s="75" t="n"/>
      <c r="B140" s="74" t="n"/>
      <c r="C140" s="74" t="n"/>
      <c r="D140" s="74" t="n"/>
      <c r="E140" s="74" t="n"/>
      <c r="F140" s="74" t="n"/>
      <c r="G140" s="89" t="n"/>
      <c r="H140" s="79" t="n"/>
      <c r="I140" s="90">
        <f>IF(A140="","",TEXT(A140,"yyyy-mm"))</f>
        <v/>
      </c>
      <c r="J140" s="90">
        <f>IF(D140="","",IF(AND(D140="Ingreso",H140&gt;0),"OK",IF(AND(D140="Gasto",H140&lt;0),"OK","⚠ Revisar signo")))</f>
        <v/>
      </c>
    </row>
    <row r="141" ht="15" customHeight="1" s="59">
      <c r="A141" s="75" t="n"/>
      <c r="B141" s="74" t="n"/>
      <c r="C141" s="74" t="n"/>
      <c r="D141" s="74" t="n"/>
      <c r="E141" s="74" t="n"/>
      <c r="F141" s="74" t="n"/>
      <c r="G141" s="89" t="n"/>
      <c r="H141" s="79" t="n"/>
      <c r="I141" s="90">
        <f>IF(A141="","",TEXT(A141,"yyyy-mm"))</f>
        <v/>
      </c>
      <c r="J141" s="90">
        <f>IF(D141="","",IF(AND(D141="Ingreso",H141&gt;0),"OK",IF(AND(D141="Gasto",H141&lt;0),"OK","⚠ Revisar signo")))</f>
        <v/>
      </c>
    </row>
    <row r="142" ht="15" customHeight="1" s="59">
      <c r="A142" s="75" t="n"/>
      <c r="B142" s="74" t="n"/>
      <c r="C142" s="74" t="n"/>
      <c r="D142" s="74" t="n"/>
      <c r="E142" s="74" t="n"/>
      <c r="F142" s="74" t="n"/>
      <c r="G142" s="89" t="n"/>
      <c r="H142" s="79" t="n"/>
      <c r="I142" s="90">
        <f>IF(A142="","",TEXT(A142,"yyyy-mm"))</f>
        <v/>
      </c>
      <c r="J142" s="90">
        <f>IF(D142="","",IF(AND(D142="Ingreso",H142&gt;0),"OK",IF(AND(D142="Gasto",H142&lt;0),"OK","⚠ Revisar signo")))</f>
        <v/>
      </c>
    </row>
    <row r="143" ht="15" customHeight="1" s="59">
      <c r="A143" s="75" t="n"/>
      <c r="B143" s="74" t="n"/>
      <c r="C143" s="74" t="n"/>
      <c r="D143" s="74" t="n"/>
      <c r="E143" s="74" t="n"/>
      <c r="F143" s="74" t="n"/>
      <c r="G143" s="89" t="n"/>
      <c r="H143" s="79" t="n"/>
      <c r="I143" s="90">
        <f>IF(A143="","",TEXT(A143,"yyyy-mm"))</f>
        <v/>
      </c>
      <c r="J143" s="90">
        <f>IF(D143="","",IF(AND(D143="Ingreso",H143&gt;0),"OK",IF(AND(D143="Gasto",H143&lt;0),"OK","⚠ Revisar signo")))</f>
        <v/>
      </c>
    </row>
    <row r="144" ht="15" customHeight="1" s="59">
      <c r="A144" s="75" t="n"/>
      <c r="B144" s="74" t="n"/>
      <c r="C144" s="74" t="n"/>
      <c r="D144" s="74" t="n"/>
      <c r="E144" s="74" t="n"/>
      <c r="F144" s="74" t="n"/>
      <c r="G144" s="89" t="n"/>
      <c r="H144" s="79" t="n"/>
      <c r="I144" s="90">
        <f>IF(A144="","",TEXT(A144,"yyyy-mm"))</f>
        <v/>
      </c>
      <c r="J144" s="90">
        <f>IF(D144="","",IF(AND(D144="Ingreso",H144&gt;0),"OK",IF(AND(D144="Gasto",H144&lt;0),"OK","⚠ Revisar signo")))</f>
        <v/>
      </c>
    </row>
    <row r="145" ht="15" customHeight="1" s="59">
      <c r="A145" s="75" t="n"/>
      <c r="B145" s="74" t="n"/>
      <c r="C145" s="74" t="n"/>
      <c r="D145" s="74" t="n"/>
      <c r="E145" s="74" t="n"/>
      <c r="F145" s="74" t="n"/>
      <c r="G145" s="89" t="n"/>
      <c r="H145" s="79" t="n"/>
      <c r="I145" s="90">
        <f>IF(A145="","",TEXT(A145,"yyyy-mm"))</f>
        <v/>
      </c>
      <c r="J145" s="90">
        <f>IF(D145="","",IF(AND(D145="Ingreso",H145&gt;0),"OK",IF(AND(D145="Gasto",H145&lt;0),"OK","⚠ Revisar signo")))</f>
        <v/>
      </c>
    </row>
    <row r="146" ht="15" customHeight="1" s="59">
      <c r="A146" s="75" t="n"/>
      <c r="B146" s="74" t="n"/>
      <c r="C146" s="74" t="n"/>
      <c r="D146" s="74" t="n"/>
      <c r="E146" s="74" t="n"/>
      <c r="F146" s="74" t="n"/>
      <c r="G146" s="89" t="n"/>
      <c r="H146" s="79" t="n"/>
      <c r="I146" s="90">
        <f>IF(A146="","",TEXT(A146,"yyyy-mm"))</f>
        <v/>
      </c>
      <c r="J146" s="90">
        <f>IF(D146="","",IF(AND(D146="Ingreso",H146&gt;0),"OK",IF(AND(D146="Gasto",H146&lt;0),"OK","⚠ Revisar signo")))</f>
        <v/>
      </c>
    </row>
    <row r="147" ht="15" customHeight="1" s="59">
      <c r="A147" s="75" t="n"/>
      <c r="B147" s="74" t="n"/>
      <c r="C147" s="74" t="n"/>
      <c r="D147" s="74" t="n"/>
      <c r="E147" s="74" t="n"/>
      <c r="F147" s="74" t="n"/>
      <c r="G147" s="89" t="n"/>
      <c r="H147" s="79" t="n"/>
      <c r="I147" s="90">
        <f>IF(A147="","",TEXT(A147,"yyyy-mm"))</f>
        <v/>
      </c>
      <c r="J147" s="90">
        <f>IF(D147="","",IF(AND(D147="Ingreso",H147&gt;0),"OK",IF(AND(D147="Gasto",H147&lt;0),"OK","⚠ Revisar signo")))</f>
        <v/>
      </c>
    </row>
    <row r="148" ht="15" customHeight="1" s="59">
      <c r="A148" s="75" t="n"/>
      <c r="B148" s="74" t="n"/>
      <c r="C148" s="74" t="n"/>
      <c r="D148" s="74" t="n"/>
      <c r="E148" s="74" t="n"/>
      <c r="F148" s="74" t="n"/>
      <c r="G148" s="89" t="n"/>
      <c r="H148" s="79" t="n"/>
      <c r="I148" s="90">
        <f>IF(A148="","",TEXT(A148,"yyyy-mm"))</f>
        <v/>
      </c>
      <c r="J148" s="90">
        <f>IF(D148="","",IF(AND(D148="Ingreso",H148&gt;0),"OK",IF(AND(D148="Gasto",H148&lt;0),"OK","⚠ Revisar signo")))</f>
        <v/>
      </c>
    </row>
    <row r="149" ht="15" customHeight="1" s="59">
      <c r="A149" s="75" t="n"/>
      <c r="B149" s="74" t="n"/>
      <c r="C149" s="74" t="n"/>
      <c r="D149" s="74" t="n"/>
      <c r="E149" s="74" t="n"/>
      <c r="F149" s="74" t="n"/>
      <c r="G149" s="89" t="n"/>
      <c r="H149" s="79" t="n"/>
      <c r="I149" s="90">
        <f>IF(A149="","",TEXT(A149,"yyyy-mm"))</f>
        <v/>
      </c>
      <c r="J149" s="90">
        <f>IF(D149="","",IF(AND(D149="Ingreso",H149&gt;0),"OK",IF(AND(D149="Gasto",H149&lt;0),"OK","⚠ Revisar signo")))</f>
        <v/>
      </c>
    </row>
    <row r="150" ht="15" customHeight="1" s="59">
      <c r="A150" s="75" t="n"/>
      <c r="B150" s="74" t="n"/>
      <c r="C150" s="74" t="n"/>
      <c r="D150" s="74" t="n"/>
      <c r="E150" s="74" t="n"/>
      <c r="F150" s="74" t="n"/>
      <c r="G150" s="89" t="n"/>
      <c r="H150" s="79" t="n"/>
      <c r="I150" s="90">
        <f>IF(A150="","",TEXT(A150,"yyyy-mm"))</f>
        <v/>
      </c>
      <c r="J150" s="90">
        <f>IF(D150="","",IF(AND(D150="Ingreso",H150&gt;0),"OK",IF(AND(D150="Gasto",H150&lt;0),"OK","⚠ Revisar signo")))</f>
        <v/>
      </c>
    </row>
    <row r="151" ht="15" customHeight="1" s="59">
      <c r="A151" s="75" t="n"/>
      <c r="B151" s="74" t="n"/>
      <c r="C151" s="74" t="n"/>
      <c r="D151" s="74" t="n"/>
      <c r="E151" s="74" t="n"/>
      <c r="F151" s="74" t="n"/>
      <c r="G151" s="89" t="n"/>
      <c r="H151" s="79" t="n"/>
      <c r="I151" s="90">
        <f>IF(A151="","",TEXT(A151,"yyyy-mm"))</f>
        <v/>
      </c>
      <c r="J151" s="90">
        <f>IF(D151="","",IF(AND(D151="Ingreso",H151&gt;0),"OK",IF(AND(D151="Gasto",H151&lt;0),"OK","⚠ Revisar signo")))</f>
        <v/>
      </c>
    </row>
    <row r="152" ht="15" customHeight="1" s="59">
      <c r="A152" s="75" t="n"/>
      <c r="B152" s="74" t="n"/>
      <c r="C152" s="74" t="n"/>
      <c r="D152" s="74" t="n"/>
      <c r="E152" s="74" t="n"/>
      <c r="F152" s="74" t="n"/>
      <c r="G152" s="89" t="n"/>
      <c r="H152" s="79" t="n"/>
      <c r="I152" s="90">
        <f>IF(A152="","",TEXT(A152,"yyyy-mm"))</f>
        <v/>
      </c>
      <c r="J152" s="90">
        <f>IF(D152="","",IF(AND(D152="Ingreso",H152&gt;0),"OK",IF(AND(D152="Gasto",H152&lt;0),"OK","⚠ Revisar signo")))</f>
        <v/>
      </c>
    </row>
    <row r="153" ht="15" customHeight="1" s="59">
      <c r="A153" s="75" t="n"/>
      <c r="B153" s="74" t="n"/>
      <c r="C153" s="74" t="n"/>
      <c r="D153" s="74" t="n"/>
      <c r="E153" s="74" t="n"/>
      <c r="F153" s="74" t="n"/>
      <c r="G153" s="89" t="n"/>
      <c r="H153" s="79" t="n"/>
      <c r="I153" s="90">
        <f>IF(A153="","",TEXT(A153,"yyyy-mm"))</f>
        <v/>
      </c>
      <c r="J153" s="90">
        <f>IF(D153="","",IF(AND(D153="Ingreso",H153&gt;0),"OK",IF(AND(D153="Gasto",H153&lt;0),"OK","⚠ Revisar signo")))</f>
        <v/>
      </c>
    </row>
    <row r="154" ht="15" customHeight="1" s="59">
      <c r="A154" s="75" t="n"/>
      <c r="B154" s="74" t="n"/>
      <c r="C154" s="74" t="n"/>
      <c r="D154" s="74" t="n"/>
      <c r="E154" s="74" t="n"/>
      <c r="F154" s="74" t="n"/>
      <c r="G154" s="89" t="n"/>
      <c r="H154" s="79" t="n"/>
      <c r="I154" s="90">
        <f>IF(A154="","",TEXT(A154,"yyyy-mm"))</f>
        <v/>
      </c>
      <c r="J154" s="90">
        <f>IF(D154="","",IF(AND(D154="Ingreso",H154&gt;0),"OK",IF(AND(D154="Gasto",H154&lt;0),"OK","⚠ Revisar signo")))</f>
        <v/>
      </c>
    </row>
    <row r="155" ht="15" customHeight="1" s="59">
      <c r="A155" s="75" t="n"/>
      <c r="B155" s="74" t="n"/>
      <c r="C155" s="74" t="n"/>
      <c r="D155" s="74" t="n"/>
      <c r="E155" s="74" t="n"/>
      <c r="F155" s="74" t="n"/>
      <c r="G155" s="89" t="n"/>
      <c r="H155" s="79" t="n"/>
      <c r="I155" s="90">
        <f>IF(A155="","",TEXT(A155,"yyyy-mm"))</f>
        <v/>
      </c>
      <c r="J155" s="90">
        <f>IF(D155="","",IF(AND(D155="Ingreso",H155&gt;0),"OK",IF(AND(D155="Gasto",H155&lt;0),"OK","⚠ Revisar signo")))</f>
        <v/>
      </c>
    </row>
    <row r="156" ht="15" customHeight="1" s="59">
      <c r="A156" s="75" t="n"/>
      <c r="B156" s="74" t="n"/>
      <c r="C156" s="74" t="n"/>
      <c r="D156" s="74" t="n"/>
      <c r="E156" s="74" t="n"/>
      <c r="F156" s="74" t="n"/>
      <c r="G156" s="89" t="n"/>
      <c r="H156" s="79" t="n"/>
      <c r="I156" s="90">
        <f>IF(A156="","",TEXT(A156,"yyyy-mm"))</f>
        <v/>
      </c>
      <c r="J156" s="90">
        <f>IF(D156="","",IF(AND(D156="Ingreso",H156&gt;0),"OK",IF(AND(D156="Gasto",H156&lt;0),"OK","⚠ Revisar signo")))</f>
        <v/>
      </c>
    </row>
    <row r="157" ht="15" customHeight="1" s="59">
      <c r="A157" s="75" t="n"/>
      <c r="B157" s="74" t="n"/>
      <c r="C157" s="74" t="n"/>
      <c r="D157" s="74" t="n"/>
      <c r="E157" s="74" t="n"/>
      <c r="F157" s="74" t="n"/>
      <c r="G157" s="89" t="n"/>
      <c r="H157" s="79" t="n"/>
      <c r="I157" s="90">
        <f>IF(A157="","",TEXT(A157,"yyyy-mm"))</f>
        <v/>
      </c>
      <c r="J157" s="90">
        <f>IF(D157="","",IF(AND(D157="Ingreso",H157&gt;0),"OK",IF(AND(D157="Gasto",H157&lt;0),"OK","⚠ Revisar signo")))</f>
        <v/>
      </c>
    </row>
    <row r="158" ht="15" customHeight="1" s="59">
      <c r="A158" s="75" t="n"/>
      <c r="B158" s="74" t="n"/>
      <c r="C158" s="74" t="n"/>
      <c r="D158" s="74" t="n"/>
      <c r="E158" s="74" t="n"/>
      <c r="F158" s="74" t="n"/>
      <c r="G158" s="89" t="n"/>
      <c r="H158" s="79" t="n"/>
      <c r="I158" s="90">
        <f>IF(A158="","",TEXT(A158,"yyyy-mm"))</f>
        <v/>
      </c>
      <c r="J158" s="90">
        <f>IF(D158="","",IF(AND(D158="Ingreso",H158&gt;0),"OK",IF(AND(D158="Gasto",H158&lt;0),"OK","⚠ Revisar signo")))</f>
        <v/>
      </c>
    </row>
    <row r="159" ht="15" customHeight="1" s="59">
      <c r="A159" s="75" t="n"/>
      <c r="B159" s="74" t="n"/>
      <c r="C159" s="74" t="n"/>
      <c r="D159" s="74" t="n"/>
      <c r="E159" s="74" t="n"/>
      <c r="F159" s="74" t="n"/>
      <c r="G159" s="89" t="n"/>
      <c r="H159" s="79" t="n"/>
      <c r="I159" s="90">
        <f>IF(A159="","",TEXT(A159,"yyyy-mm"))</f>
        <v/>
      </c>
      <c r="J159" s="90">
        <f>IF(D159="","",IF(AND(D159="Ingreso",H159&gt;0),"OK",IF(AND(D159="Gasto",H159&lt;0),"OK","⚠ Revisar signo")))</f>
        <v/>
      </c>
    </row>
    <row r="160" ht="15" customHeight="1" s="59">
      <c r="A160" s="75" t="n"/>
      <c r="B160" s="74" t="n"/>
      <c r="C160" s="74" t="n"/>
      <c r="D160" s="74" t="n"/>
      <c r="E160" s="74" t="n"/>
      <c r="F160" s="74" t="n"/>
      <c r="G160" s="89" t="n"/>
      <c r="H160" s="79" t="n"/>
      <c r="I160" s="90">
        <f>IF(A160="","",TEXT(A160,"yyyy-mm"))</f>
        <v/>
      </c>
      <c r="J160" s="90">
        <f>IF(D160="","",IF(AND(D160="Ingreso",H160&gt;0),"OK",IF(AND(D160="Gasto",H160&lt;0),"OK","⚠ Revisar signo")))</f>
        <v/>
      </c>
    </row>
    <row r="161" ht="15" customHeight="1" s="59">
      <c r="A161" s="75" t="n"/>
      <c r="B161" s="74" t="n"/>
      <c r="C161" s="74" t="n"/>
      <c r="D161" s="74" t="n"/>
      <c r="E161" s="74" t="n"/>
      <c r="F161" s="74" t="n"/>
      <c r="G161" s="89" t="n"/>
      <c r="H161" s="79" t="n"/>
      <c r="I161" s="90">
        <f>IF(A161="","",TEXT(A161,"yyyy-mm"))</f>
        <v/>
      </c>
      <c r="J161" s="90">
        <f>IF(D161="","",IF(AND(D161="Ingreso",H161&gt;0),"OK",IF(AND(D161="Gasto",H161&lt;0),"OK","⚠ Revisar signo")))</f>
        <v/>
      </c>
    </row>
    <row r="162" ht="15" customHeight="1" s="59">
      <c r="A162" s="75" t="n"/>
      <c r="B162" s="74" t="n"/>
      <c r="C162" s="74" t="n"/>
      <c r="D162" s="74" t="n"/>
      <c r="E162" s="74" t="n"/>
      <c r="F162" s="74" t="n"/>
      <c r="G162" s="89" t="n"/>
      <c r="H162" s="79" t="n"/>
      <c r="I162" s="90">
        <f>IF(A162="","",TEXT(A162,"yyyy-mm"))</f>
        <v/>
      </c>
      <c r="J162" s="90">
        <f>IF(D162="","",IF(AND(D162="Ingreso",H162&gt;0),"OK",IF(AND(D162="Gasto",H162&lt;0),"OK","⚠ Revisar signo")))</f>
        <v/>
      </c>
    </row>
    <row r="163" ht="15" customHeight="1" s="59">
      <c r="A163" s="75" t="n"/>
      <c r="B163" s="74" t="n"/>
      <c r="C163" s="74" t="n"/>
      <c r="D163" s="74" t="n"/>
      <c r="E163" s="74" t="n"/>
      <c r="F163" s="74" t="n"/>
      <c r="G163" s="89" t="n"/>
      <c r="H163" s="79" t="n"/>
      <c r="I163" s="90">
        <f>IF(A163="","",TEXT(A163,"yyyy-mm"))</f>
        <v/>
      </c>
      <c r="J163" s="90">
        <f>IF(D163="","",IF(AND(D163="Ingreso",H163&gt;0),"OK",IF(AND(D163="Gasto",H163&lt;0),"OK","⚠ Revisar signo")))</f>
        <v/>
      </c>
    </row>
    <row r="164" ht="15" customHeight="1" s="59">
      <c r="A164" s="75" t="n"/>
      <c r="B164" s="74" t="n"/>
      <c r="C164" s="74" t="n"/>
      <c r="D164" s="74" t="n"/>
      <c r="E164" s="74" t="n"/>
      <c r="F164" s="74" t="n"/>
      <c r="G164" s="89" t="n"/>
      <c r="H164" s="79" t="n"/>
      <c r="I164" s="90">
        <f>IF(A164="","",TEXT(A164,"yyyy-mm"))</f>
        <v/>
      </c>
      <c r="J164" s="90">
        <f>IF(D164="","",IF(AND(D164="Ingreso",H164&gt;0),"OK",IF(AND(D164="Gasto",H164&lt;0),"OK","⚠ Revisar signo")))</f>
        <v/>
      </c>
    </row>
    <row r="165" ht="15" customHeight="1" s="59">
      <c r="A165" s="75" t="n"/>
      <c r="B165" s="74" t="n"/>
      <c r="C165" s="74" t="n"/>
      <c r="D165" s="74" t="n"/>
      <c r="E165" s="74" t="n"/>
      <c r="F165" s="74" t="n"/>
      <c r="G165" s="89" t="n"/>
      <c r="H165" s="79" t="n"/>
      <c r="I165" s="90">
        <f>IF(A165="","",TEXT(A165,"yyyy-mm"))</f>
        <v/>
      </c>
      <c r="J165" s="90">
        <f>IF(D165="","",IF(AND(D165="Ingreso",H165&gt;0),"OK",IF(AND(D165="Gasto",H165&lt;0),"OK","⚠ Revisar signo")))</f>
        <v/>
      </c>
    </row>
    <row r="166" ht="15" customHeight="1" s="59">
      <c r="A166" s="75" t="n"/>
      <c r="B166" s="74" t="n"/>
      <c r="C166" s="74" t="n"/>
      <c r="D166" s="74" t="n"/>
      <c r="E166" s="74" t="n"/>
      <c r="F166" s="74" t="n"/>
      <c r="G166" s="89" t="n"/>
      <c r="H166" s="79" t="n"/>
      <c r="I166" s="90">
        <f>IF(A166="","",TEXT(A166,"yyyy-mm"))</f>
        <v/>
      </c>
      <c r="J166" s="90">
        <f>IF(D166="","",IF(AND(D166="Ingreso",H166&gt;0),"OK",IF(AND(D166="Gasto",H166&lt;0),"OK","⚠ Revisar signo")))</f>
        <v/>
      </c>
    </row>
    <row r="167" ht="15" customHeight="1" s="59">
      <c r="A167" s="75" t="n"/>
      <c r="B167" s="74" t="n"/>
      <c r="C167" s="74" t="n"/>
      <c r="D167" s="74" t="n"/>
      <c r="E167" s="74" t="n"/>
      <c r="F167" s="74" t="n"/>
      <c r="G167" s="89" t="n"/>
      <c r="H167" s="79" t="n"/>
      <c r="I167" s="90">
        <f>IF(A167="","",TEXT(A167,"yyyy-mm"))</f>
        <v/>
      </c>
      <c r="J167" s="90">
        <f>IF(D167="","",IF(AND(D167="Ingreso",H167&gt;0),"OK",IF(AND(D167="Gasto",H167&lt;0),"OK","⚠ Revisar signo")))</f>
        <v/>
      </c>
    </row>
    <row r="168" ht="15" customHeight="1" s="59">
      <c r="A168" s="75" t="n"/>
      <c r="B168" s="74" t="n"/>
      <c r="C168" s="74" t="n"/>
      <c r="D168" s="74" t="n"/>
      <c r="E168" s="74" t="n"/>
      <c r="F168" s="74" t="n"/>
      <c r="G168" s="89" t="n"/>
      <c r="H168" s="79" t="n"/>
      <c r="I168" s="90">
        <f>IF(A168="","",TEXT(A168,"yyyy-mm"))</f>
        <v/>
      </c>
      <c r="J168" s="90">
        <f>IF(D168="","",IF(AND(D168="Ingreso",H168&gt;0),"OK",IF(AND(D168="Gasto",H168&lt;0),"OK","⚠ Revisar signo")))</f>
        <v/>
      </c>
    </row>
    <row r="169" ht="15" customHeight="1" s="59">
      <c r="A169" s="75" t="n"/>
      <c r="B169" s="74" t="n"/>
      <c r="C169" s="74" t="n"/>
      <c r="D169" s="74" t="n"/>
      <c r="E169" s="74" t="n"/>
      <c r="F169" s="74" t="n"/>
      <c r="G169" s="89" t="n"/>
      <c r="H169" s="79" t="n"/>
      <c r="I169" s="90">
        <f>IF(A169="","",TEXT(A169,"yyyy-mm"))</f>
        <v/>
      </c>
      <c r="J169" s="90">
        <f>IF(D169="","",IF(AND(D169="Ingreso",H169&gt;0),"OK",IF(AND(D169="Gasto",H169&lt;0),"OK","⚠ Revisar signo")))</f>
        <v/>
      </c>
    </row>
    <row r="170" ht="15" customHeight="1" s="59">
      <c r="A170" s="75" t="n"/>
      <c r="B170" s="74" t="n"/>
      <c r="C170" s="74" t="n"/>
      <c r="D170" s="74" t="n"/>
      <c r="E170" s="74" t="n"/>
      <c r="F170" s="74" t="n"/>
      <c r="G170" s="89" t="n"/>
      <c r="H170" s="79" t="n"/>
      <c r="I170" s="90">
        <f>IF(A170="","",TEXT(A170,"yyyy-mm"))</f>
        <v/>
      </c>
      <c r="J170" s="90">
        <f>IF(D170="","",IF(AND(D170="Ingreso",H170&gt;0),"OK",IF(AND(D170="Gasto",H170&lt;0),"OK","⚠ Revisar signo")))</f>
        <v/>
      </c>
    </row>
    <row r="171" ht="15" customHeight="1" s="59">
      <c r="A171" s="75" t="n"/>
      <c r="B171" s="74" t="n"/>
      <c r="C171" s="74" t="n"/>
      <c r="D171" s="74" t="n"/>
      <c r="E171" s="74" t="n"/>
      <c r="F171" s="74" t="n"/>
      <c r="G171" s="89" t="n"/>
      <c r="H171" s="79" t="n"/>
      <c r="I171" s="90">
        <f>IF(A171="","",TEXT(A171,"yyyy-mm"))</f>
        <v/>
      </c>
      <c r="J171" s="90">
        <f>IF(D171="","",IF(AND(D171="Ingreso",H171&gt;0),"OK",IF(AND(D171="Gasto",H171&lt;0),"OK","⚠ Revisar signo")))</f>
        <v/>
      </c>
    </row>
    <row r="172" ht="15" customHeight="1" s="59">
      <c r="A172" s="75" t="n"/>
      <c r="B172" s="74" t="n"/>
      <c r="C172" s="74" t="n"/>
      <c r="D172" s="74" t="n"/>
      <c r="E172" s="74" t="n"/>
      <c r="F172" s="74" t="n"/>
      <c r="G172" s="89" t="n"/>
      <c r="H172" s="79" t="n"/>
      <c r="I172" s="90">
        <f>IF(A172="","",TEXT(A172,"yyyy-mm"))</f>
        <v/>
      </c>
      <c r="J172" s="90">
        <f>IF(D172="","",IF(AND(D172="Ingreso",H172&gt;0),"OK",IF(AND(D172="Gasto",H172&lt;0),"OK","⚠ Revisar signo")))</f>
        <v/>
      </c>
    </row>
    <row r="173" ht="15" customHeight="1" s="59">
      <c r="A173" s="75" t="n"/>
      <c r="B173" s="74" t="n"/>
      <c r="C173" s="74" t="n"/>
      <c r="D173" s="74" t="n"/>
      <c r="E173" s="74" t="n"/>
      <c r="F173" s="74" t="n"/>
      <c r="G173" s="89" t="n"/>
      <c r="H173" s="79" t="n"/>
      <c r="I173" s="90">
        <f>IF(A173="","",TEXT(A173,"yyyy-mm"))</f>
        <v/>
      </c>
      <c r="J173" s="90">
        <f>IF(D173="","",IF(AND(D173="Ingreso",H173&gt;0),"OK",IF(AND(D173="Gasto",H173&lt;0),"OK","⚠ Revisar signo")))</f>
        <v/>
      </c>
    </row>
    <row r="174" ht="15" customHeight="1" s="59">
      <c r="A174" s="75" t="n"/>
      <c r="B174" s="74" t="n"/>
      <c r="C174" s="74" t="n"/>
      <c r="D174" s="74" t="n"/>
      <c r="E174" s="74" t="n"/>
      <c r="F174" s="74" t="n"/>
      <c r="G174" s="89" t="n"/>
      <c r="H174" s="79" t="n"/>
      <c r="I174" s="90">
        <f>IF(A174="","",TEXT(A174,"yyyy-mm"))</f>
        <v/>
      </c>
      <c r="J174" s="90">
        <f>IF(D174="","",IF(AND(D174="Ingreso",H174&gt;0),"OK",IF(AND(D174="Gasto",H174&lt;0),"OK","⚠ Revisar signo")))</f>
        <v/>
      </c>
    </row>
    <row r="175" ht="15" customHeight="1" s="59">
      <c r="A175" s="75" t="n"/>
      <c r="B175" s="74" t="n"/>
      <c r="C175" s="74" t="n"/>
      <c r="D175" s="74" t="n"/>
      <c r="E175" s="74" t="n"/>
      <c r="F175" s="74" t="n"/>
      <c r="G175" s="89" t="n"/>
      <c r="H175" s="79" t="n"/>
      <c r="I175" s="90">
        <f>IF(A175="","",TEXT(A175,"yyyy-mm"))</f>
        <v/>
      </c>
      <c r="J175" s="90">
        <f>IF(D175="","",IF(AND(D175="Ingreso",H175&gt;0),"OK",IF(AND(D175="Gasto",H175&lt;0),"OK","⚠ Revisar signo")))</f>
        <v/>
      </c>
    </row>
    <row r="176" ht="15" customHeight="1" s="59">
      <c r="A176" s="75" t="n"/>
      <c r="B176" s="74" t="n"/>
      <c r="C176" s="74" t="n"/>
      <c r="D176" s="74" t="n"/>
      <c r="E176" s="74" t="n"/>
      <c r="F176" s="74" t="n"/>
      <c r="G176" s="89" t="n"/>
      <c r="H176" s="79" t="n"/>
      <c r="I176" s="90">
        <f>IF(A176="","",TEXT(A176,"yyyy-mm"))</f>
        <v/>
      </c>
      <c r="J176" s="90">
        <f>IF(D176="","",IF(AND(D176="Ingreso",H176&gt;0),"OK",IF(AND(D176="Gasto",H176&lt;0),"OK","⚠ Revisar signo")))</f>
        <v/>
      </c>
    </row>
    <row r="177" ht="15" customHeight="1" s="59">
      <c r="A177" s="75" t="n"/>
      <c r="B177" s="74" t="n"/>
      <c r="C177" s="74" t="n"/>
      <c r="D177" s="74" t="n"/>
      <c r="E177" s="74" t="n"/>
      <c r="F177" s="74" t="n"/>
      <c r="G177" s="89" t="n"/>
      <c r="H177" s="79" t="n"/>
      <c r="I177" s="90">
        <f>IF(A177="","",TEXT(A177,"yyyy-mm"))</f>
        <v/>
      </c>
      <c r="J177" s="90">
        <f>IF(D177="","",IF(AND(D177="Ingreso",H177&gt;0),"OK",IF(AND(D177="Gasto",H177&lt;0),"OK","⚠ Revisar signo")))</f>
        <v/>
      </c>
    </row>
    <row r="178" ht="15" customHeight="1" s="59">
      <c r="A178" s="75" t="n"/>
      <c r="B178" s="74" t="n"/>
      <c r="C178" s="74" t="n"/>
      <c r="D178" s="74" t="n"/>
      <c r="E178" s="74" t="n"/>
      <c r="F178" s="74" t="n"/>
      <c r="G178" s="89" t="n"/>
      <c r="H178" s="79" t="n"/>
      <c r="I178" s="90">
        <f>IF(A178="","",TEXT(A178,"yyyy-mm"))</f>
        <v/>
      </c>
      <c r="J178" s="90">
        <f>IF(D178="","",IF(AND(D178="Ingreso",H178&gt;0),"OK",IF(AND(D178="Gasto",H178&lt;0),"OK","⚠ Revisar signo")))</f>
        <v/>
      </c>
    </row>
    <row r="179" ht="15" customHeight="1" s="59">
      <c r="A179" s="75" t="n"/>
      <c r="B179" s="74" t="n"/>
      <c r="C179" s="74" t="n"/>
      <c r="D179" s="74" t="n"/>
      <c r="E179" s="74" t="n"/>
      <c r="F179" s="74" t="n"/>
      <c r="G179" s="89" t="n"/>
      <c r="H179" s="79" t="n"/>
      <c r="I179" s="90">
        <f>IF(A179="","",TEXT(A179,"yyyy-mm"))</f>
        <v/>
      </c>
      <c r="J179" s="90">
        <f>IF(D179="","",IF(AND(D179="Ingreso",H179&gt;0),"OK",IF(AND(D179="Gasto",H179&lt;0),"OK","⚠ Revisar signo")))</f>
        <v/>
      </c>
    </row>
    <row r="180" ht="15" customHeight="1" s="59">
      <c r="A180" s="75" t="n"/>
      <c r="B180" s="74" t="n"/>
      <c r="C180" s="74" t="n"/>
      <c r="D180" s="74" t="n"/>
      <c r="E180" s="74" t="n"/>
      <c r="F180" s="74" t="n"/>
      <c r="G180" s="89" t="n"/>
      <c r="H180" s="79" t="n"/>
      <c r="I180" s="90">
        <f>IF(A180="","",TEXT(A180,"yyyy-mm"))</f>
        <v/>
      </c>
      <c r="J180" s="90">
        <f>IF(D180="","",IF(AND(D180="Ingreso",H180&gt;0),"OK",IF(AND(D180="Gasto",H180&lt;0),"OK","⚠ Revisar signo")))</f>
        <v/>
      </c>
    </row>
    <row r="181" ht="15" customHeight="1" s="59">
      <c r="A181" s="75" t="n"/>
      <c r="B181" s="74" t="n"/>
      <c r="C181" s="74" t="n"/>
      <c r="D181" s="74" t="n"/>
      <c r="E181" s="74" t="n"/>
      <c r="F181" s="74" t="n"/>
      <c r="G181" s="89" t="n"/>
      <c r="H181" s="79" t="n"/>
      <c r="I181" s="90">
        <f>IF(A181="","",TEXT(A181,"yyyy-mm"))</f>
        <v/>
      </c>
      <c r="J181" s="90">
        <f>IF(D181="","",IF(AND(D181="Ingreso",H181&gt;0),"OK",IF(AND(D181="Gasto",H181&lt;0),"OK","⚠ Revisar signo")))</f>
        <v/>
      </c>
    </row>
    <row r="182" ht="15" customHeight="1" s="59">
      <c r="A182" s="75" t="n"/>
      <c r="B182" s="74" t="n"/>
      <c r="C182" s="74" t="n"/>
      <c r="D182" s="74" t="n"/>
      <c r="E182" s="74" t="n"/>
      <c r="F182" s="74" t="n"/>
      <c r="G182" s="89" t="n"/>
      <c r="H182" s="79" t="n"/>
      <c r="I182" s="90">
        <f>IF(A182="","",TEXT(A182,"yyyy-mm"))</f>
        <v/>
      </c>
      <c r="J182" s="90">
        <f>IF(D182="","",IF(AND(D182="Ingreso",H182&gt;0),"OK",IF(AND(D182="Gasto",H182&lt;0),"OK","⚠ Revisar signo")))</f>
        <v/>
      </c>
    </row>
    <row r="183" ht="15" customHeight="1" s="59">
      <c r="A183" s="75" t="n"/>
      <c r="B183" s="74" t="n"/>
      <c r="C183" s="74" t="n"/>
      <c r="D183" s="74" t="n"/>
      <c r="E183" s="74" t="n"/>
      <c r="F183" s="74" t="n"/>
      <c r="G183" s="89" t="n"/>
      <c r="H183" s="79" t="n"/>
      <c r="I183" s="90">
        <f>IF(A183="","",TEXT(A183,"yyyy-mm"))</f>
        <v/>
      </c>
      <c r="J183" s="90">
        <f>IF(D183="","",IF(AND(D183="Ingreso",H183&gt;0),"OK",IF(AND(D183="Gasto",H183&lt;0),"OK","⚠ Revisar signo")))</f>
        <v/>
      </c>
    </row>
    <row r="184" ht="15" customHeight="1" s="59">
      <c r="A184" s="75" t="n"/>
      <c r="B184" s="74" t="n"/>
      <c r="C184" s="74" t="n"/>
      <c r="D184" s="74" t="n"/>
      <c r="E184" s="74" t="n"/>
      <c r="F184" s="74" t="n"/>
      <c r="G184" s="89" t="n"/>
      <c r="H184" s="79" t="n"/>
      <c r="I184" s="90">
        <f>IF(A184="","",TEXT(A184,"yyyy-mm"))</f>
        <v/>
      </c>
      <c r="J184" s="90">
        <f>IF(D184="","",IF(AND(D184="Ingreso",H184&gt;0),"OK",IF(AND(D184="Gasto",H184&lt;0),"OK","⚠ Revisar signo")))</f>
        <v/>
      </c>
    </row>
    <row r="185" ht="15" customHeight="1" s="59">
      <c r="A185" s="75" t="n"/>
      <c r="B185" s="74" t="n"/>
      <c r="C185" s="74" t="n"/>
      <c r="D185" s="74" t="n"/>
      <c r="E185" s="74" t="n"/>
      <c r="F185" s="74" t="n"/>
      <c r="G185" s="89" t="n"/>
      <c r="H185" s="79" t="n"/>
      <c r="I185" s="90">
        <f>IF(A185="","",TEXT(A185,"yyyy-mm"))</f>
        <v/>
      </c>
      <c r="J185" s="90">
        <f>IF(D185="","",IF(AND(D185="Ingreso",H185&gt;0),"OK",IF(AND(D185="Gasto",H185&lt;0),"OK","⚠ Revisar signo")))</f>
        <v/>
      </c>
    </row>
    <row r="186" ht="15" customHeight="1" s="59">
      <c r="A186" s="75" t="n"/>
      <c r="B186" s="74" t="n"/>
      <c r="C186" s="74" t="n"/>
      <c r="D186" s="74" t="n"/>
      <c r="E186" s="74" t="n"/>
      <c r="F186" s="74" t="n"/>
      <c r="G186" s="89" t="n"/>
      <c r="H186" s="79" t="n"/>
      <c r="I186" s="90">
        <f>IF(A186="","",TEXT(A186,"yyyy-mm"))</f>
        <v/>
      </c>
      <c r="J186" s="90">
        <f>IF(D186="","",IF(AND(D186="Ingreso",H186&gt;0),"OK",IF(AND(D186="Gasto",H186&lt;0),"OK","⚠ Revisar signo")))</f>
        <v/>
      </c>
    </row>
    <row r="187" ht="15" customHeight="1" s="59">
      <c r="A187" s="75" t="n"/>
      <c r="B187" s="74" t="n"/>
      <c r="C187" s="74" t="n"/>
      <c r="D187" s="74" t="n"/>
      <c r="E187" s="74" t="n"/>
      <c r="F187" s="74" t="n"/>
      <c r="G187" s="89" t="n"/>
      <c r="H187" s="79" t="n"/>
      <c r="I187" s="90">
        <f>IF(A187="","",TEXT(A187,"yyyy-mm"))</f>
        <v/>
      </c>
      <c r="J187" s="90">
        <f>IF(D187="","",IF(AND(D187="Ingreso",H187&gt;0),"OK",IF(AND(D187="Gasto",H187&lt;0),"OK","⚠ Revisar signo")))</f>
        <v/>
      </c>
    </row>
    <row r="188" ht="15" customHeight="1" s="59">
      <c r="A188" s="75" t="n"/>
      <c r="B188" s="74" t="n"/>
      <c r="C188" s="74" t="n"/>
      <c r="D188" s="74" t="n"/>
      <c r="E188" s="74" t="n"/>
      <c r="F188" s="74" t="n"/>
      <c r="G188" s="89" t="n"/>
      <c r="H188" s="79" t="n"/>
      <c r="I188" s="90">
        <f>IF(A188="","",TEXT(A188,"yyyy-mm"))</f>
        <v/>
      </c>
      <c r="J188" s="90">
        <f>IF(D188="","",IF(AND(D188="Ingreso",H188&gt;0),"OK",IF(AND(D188="Gasto",H188&lt;0),"OK","⚠ Revisar signo")))</f>
        <v/>
      </c>
    </row>
    <row r="189" ht="15" customHeight="1" s="59">
      <c r="A189" s="75" t="n"/>
      <c r="B189" s="74" t="n"/>
      <c r="C189" s="74" t="n"/>
      <c r="D189" s="74" t="n"/>
      <c r="E189" s="74" t="n"/>
      <c r="F189" s="74" t="n"/>
      <c r="G189" s="89" t="n"/>
      <c r="H189" s="79" t="n"/>
      <c r="I189" s="90">
        <f>IF(A189="","",TEXT(A189,"yyyy-mm"))</f>
        <v/>
      </c>
      <c r="J189" s="90">
        <f>IF(D189="","",IF(AND(D189="Ingreso",H189&gt;0),"OK",IF(AND(D189="Gasto",H189&lt;0),"OK","⚠ Revisar signo")))</f>
        <v/>
      </c>
    </row>
    <row r="190" ht="15" customHeight="1" s="59">
      <c r="A190" s="75" t="n"/>
      <c r="B190" s="74" t="n"/>
      <c r="C190" s="74" t="n"/>
      <c r="D190" s="74" t="n"/>
      <c r="E190" s="74" t="n"/>
      <c r="F190" s="74" t="n"/>
      <c r="G190" s="89" t="n"/>
      <c r="H190" s="79" t="n"/>
      <c r="I190" s="90">
        <f>IF(A190="","",TEXT(A190,"yyyy-mm"))</f>
        <v/>
      </c>
      <c r="J190" s="90">
        <f>IF(D190="","",IF(AND(D190="Ingreso",H190&gt;0),"OK",IF(AND(D190="Gasto",H190&lt;0),"OK","⚠ Revisar signo")))</f>
        <v/>
      </c>
    </row>
    <row r="191" ht="15" customHeight="1" s="59">
      <c r="A191" s="75" t="n"/>
      <c r="B191" s="74" t="n"/>
      <c r="C191" s="74" t="n"/>
      <c r="D191" s="74" t="n"/>
      <c r="E191" s="74" t="n"/>
      <c r="F191" s="74" t="n"/>
      <c r="G191" s="89" t="n"/>
      <c r="H191" s="79" t="n"/>
      <c r="I191" s="90">
        <f>IF(A191="","",TEXT(A191,"yyyy-mm"))</f>
        <v/>
      </c>
      <c r="J191" s="90">
        <f>IF(D191="","",IF(AND(D191="Ingreso",H191&gt;0),"OK",IF(AND(D191="Gasto",H191&lt;0),"OK","⚠ Revisar signo")))</f>
        <v/>
      </c>
    </row>
    <row r="192" ht="15" customHeight="1" s="59">
      <c r="A192" s="75" t="n"/>
      <c r="B192" s="74" t="n"/>
      <c r="C192" s="74" t="n"/>
      <c r="D192" s="74" t="n"/>
      <c r="E192" s="74" t="n"/>
      <c r="F192" s="74" t="n"/>
      <c r="G192" s="89" t="n"/>
      <c r="H192" s="79" t="n"/>
      <c r="I192" s="90">
        <f>IF(A192="","",TEXT(A192,"yyyy-mm"))</f>
        <v/>
      </c>
      <c r="J192" s="90">
        <f>IF(D192="","",IF(AND(D192="Ingreso",H192&gt;0),"OK",IF(AND(D192="Gasto",H192&lt;0),"OK","⚠ Revisar signo")))</f>
        <v/>
      </c>
    </row>
    <row r="193" ht="15" customHeight="1" s="59">
      <c r="A193" s="75" t="n"/>
      <c r="B193" s="74" t="n"/>
      <c r="C193" s="74" t="n"/>
      <c r="D193" s="74" t="n"/>
      <c r="E193" s="74" t="n"/>
      <c r="F193" s="74" t="n"/>
      <c r="G193" s="89" t="n"/>
      <c r="H193" s="79" t="n"/>
      <c r="I193" s="90">
        <f>IF(A193="","",TEXT(A193,"yyyy-mm"))</f>
        <v/>
      </c>
      <c r="J193" s="90">
        <f>IF(D193="","",IF(AND(D193="Ingreso",H193&gt;0),"OK",IF(AND(D193="Gasto",H193&lt;0),"OK","⚠ Revisar signo")))</f>
        <v/>
      </c>
    </row>
    <row r="194" ht="15" customHeight="1" s="59">
      <c r="A194" s="75" t="n"/>
      <c r="B194" s="74" t="n"/>
      <c r="C194" s="74" t="n"/>
      <c r="D194" s="74" t="n"/>
      <c r="E194" s="74" t="n"/>
      <c r="F194" s="74" t="n"/>
      <c r="G194" s="89" t="n"/>
      <c r="H194" s="79" t="n"/>
      <c r="I194" s="90">
        <f>IF(A194="","",TEXT(A194,"yyyy-mm"))</f>
        <v/>
      </c>
      <c r="J194" s="90">
        <f>IF(D194="","",IF(AND(D194="Ingreso",H194&gt;0),"OK",IF(AND(D194="Gasto",H194&lt;0),"OK","⚠ Revisar signo")))</f>
        <v/>
      </c>
    </row>
    <row r="195" ht="15" customHeight="1" s="59">
      <c r="A195" s="75" t="n"/>
      <c r="B195" s="74" t="n"/>
      <c r="C195" s="74" t="n"/>
      <c r="D195" s="74" t="n"/>
      <c r="E195" s="74" t="n"/>
      <c r="F195" s="74" t="n"/>
      <c r="G195" s="89" t="n"/>
      <c r="H195" s="79" t="n"/>
      <c r="I195" s="90">
        <f>IF(A195="","",TEXT(A195,"yyyy-mm"))</f>
        <v/>
      </c>
      <c r="J195" s="90">
        <f>IF(D195="","",IF(AND(D195="Ingreso",H195&gt;0),"OK",IF(AND(D195="Gasto",H195&lt;0),"OK","⚠ Revisar signo")))</f>
        <v/>
      </c>
    </row>
    <row r="196" ht="15" customHeight="1" s="59">
      <c r="A196" s="75" t="n"/>
      <c r="B196" s="74" t="n"/>
      <c r="C196" s="74" t="n"/>
      <c r="D196" s="74" t="n"/>
      <c r="E196" s="74" t="n"/>
      <c r="F196" s="74" t="n"/>
      <c r="G196" s="89" t="n"/>
      <c r="H196" s="79" t="n"/>
      <c r="I196" s="90">
        <f>IF(A196="","",TEXT(A196,"yyyy-mm"))</f>
        <v/>
      </c>
      <c r="J196" s="90">
        <f>IF(D196="","",IF(AND(D196="Ingreso",H196&gt;0),"OK",IF(AND(D196="Gasto",H196&lt;0),"OK","⚠ Revisar signo")))</f>
        <v/>
      </c>
    </row>
    <row r="197" ht="15" customHeight="1" s="59">
      <c r="A197" s="75" t="n"/>
      <c r="B197" s="74" t="n"/>
      <c r="C197" s="74" t="n"/>
      <c r="D197" s="74" t="n"/>
      <c r="E197" s="74" t="n"/>
      <c r="F197" s="74" t="n"/>
      <c r="G197" s="89" t="n"/>
      <c r="H197" s="79" t="n"/>
      <c r="I197" s="90">
        <f>IF(A197="","",TEXT(A197,"yyyy-mm"))</f>
        <v/>
      </c>
      <c r="J197" s="90">
        <f>IF(D197="","",IF(AND(D197="Ingreso",H197&gt;0),"OK",IF(AND(D197="Gasto",H197&lt;0),"OK","⚠ Revisar signo")))</f>
        <v/>
      </c>
    </row>
    <row r="198" ht="15" customHeight="1" s="59">
      <c r="A198" s="75" t="n"/>
      <c r="B198" s="74" t="n"/>
      <c r="C198" s="74" t="n"/>
      <c r="D198" s="74" t="n"/>
      <c r="E198" s="74" t="n"/>
      <c r="F198" s="74" t="n"/>
      <c r="G198" s="89" t="n"/>
      <c r="H198" s="79" t="n"/>
      <c r="I198" s="90">
        <f>IF(A198="","",TEXT(A198,"yyyy-mm"))</f>
        <v/>
      </c>
      <c r="J198" s="90">
        <f>IF(D198="","",IF(AND(D198="Ingreso",H198&gt;0),"OK",IF(AND(D198="Gasto",H198&lt;0),"OK","⚠ Revisar signo")))</f>
        <v/>
      </c>
    </row>
    <row r="199" ht="15" customHeight="1" s="59">
      <c r="A199" s="75" t="n"/>
      <c r="B199" s="74" t="n"/>
      <c r="C199" s="74" t="n"/>
      <c r="D199" s="74" t="n"/>
      <c r="E199" s="74" t="n"/>
      <c r="F199" s="74" t="n"/>
      <c r="G199" s="89" t="n"/>
      <c r="H199" s="79" t="n"/>
      <c r="I199" s="90">
        <f>IF(A199="","",TEXT(A199,"yyyy-mm"))</f>
        <v/>
      </c>
      <c r="J199" s="90">
        <f>IF(D199="","",IF(AND(D199="Ingreso",H199&gt;0),"OK",IF(AND(D199="Gasto",H199&lt;0),"OK","⚠ Revisar signo")))</f>
        <v/>
      </c>
    </row>
    <row r="200" ht="15" customHeight="1" s="59">
      <c r="A200" s="75" t="n"/>
      <c r="B200" s="74" t="n"/>
      <c r="C200" s="74" t="n"/>
      <c r="D200" s="74" t="n"/>
      <c r="E200" s="74" t="n"/>
      <c r="F200" s="74" t="n"/>
      <c r="G200" s="89" t="n"/>
      <c r="H200" s="79" t="n"/>
      <c r="I200" s="90">
        <f>IF(A200="","",TEXT(A200,"yyyy-mm"))</f>
        <v/>
      </c>
      <c r="J200" s="90">
        <f>IF(D200="","",IF(AND(D200="Ingreso",H200&gt;0),"OK",IF(AND(D200="Gasto",H200&lt;0),"OK","⚠ Revisar signo")))</f>
        <v/>
      </c>
    </row>
    <row r="201" ht="15" customHeight="1" s="59">
      <c r="A201" s="75" t="n"/>
      <c r="B201" s="74" t="n"/>
      <c r="C201" s="74" t="n"/>
      <c r="D201" s="74" t="n"/>
      <c r="E201" s="74" t="n"/>
      <c r="F201" s="74" t="n"/>
      <c r="G201" s="89" t="n"/>
      <c r="H201" s="79" t="n"/>
      <c r="I201" s="90">
        <f>IF(A201="","",TEXT(A201,"yyyy-mm"))</f>
        <v/>
      </c>
      <c r="J201" s="90">
        <f>IF(D201="","",IF(AND(D201="Ingreso",H201&gt;0),"OK",IF(AND(D201="Gasto",H201&lt;0),"OK","⚠ Revisar signo")))</f>
        <v/>
      </c>
    </row>
    <row r="202" ht="15" customHeight="1" s="59">
      <c r="A202" s="75" t="n"/>
      <c r="B202" s="74" t="n"/>
      <c r="C202" s="74" t="n"/>
      <c r="D202" s="74" t="n"/>
      <c r="E202" s="74" t="n"/>
      <c r="F202" s="74" t="n"/>
      <c r="G202" s="89" t="n"/>
      <c r="H202" s="79" t="n"/>
      <c r="I202" s="90">
        <f>IF(A202="","",TEXT(A202,"yyyy-mm"))</f>
        <v/>
      </c>
      <c r="J202" s="90">
        <f>IF(D202="","",IF(AND(D202="Ingreso",H202&gt;0),"OK",IF(AND(D202="Gasto",H202&lt;0),"OK","⚠ Revisar signo")))</f>
        <v/>
      </c>
    </row>
    <row r="203" ht="15" customHeight="1" s="59">
      <c r="A203" s="75" t="n"/>
      <c r="B203" s="74" t="n"/>
      <c r="C203" s="74" t="n"/>
      <c r="D203" s="74" t="n"/>
      <c r="E203" s="74" t="n"/>
      <c r="F203" s="74" t="n"/>
      <c r="G203" s="89" t="n"/>
      <c r="H203" s="79" t="n"/>
      <c r="I203" s="90">
        <f>IF(A203="","",TEXT(A203,"yyyy-mm"))</f>
        <v/>
      </c>
      <c r="J203" s="90">
        <f>IF(D203="","",IF(AND(D203="Ingreso",H203&gt;0),"OK",IF(AND(D203="Gasto",H203&lt;0),"OK","⚠ Revisar signo")))</f>
        <v/>
      </c>
    </row>
    <row r="204" ht="15" customHeight="1" s="59">
      <c r="A204" s="75" t="n"/>
      <c r="B204" s="74" t="n"/>
      <c r="C204" s="74" t="n"/>
      <c r="D204" s="74" t="n"/>
      <c r="E204" s="74" t="n"/>
      <c r="F204" s="74" t="n"/>
      <c r="G204" s="89" t="n"/>
      <c r="H204" s="79" t="n"/>
      <c r="I204" s="90">
        <f>IF(A204="","",TEXT(A204,"yyyy-mm"))</f>
        <v/>
      </c>
      <c r="J204" s="90">
        <f>IF(D204="","",IF(AND(D204="Ingreso",H204&gt;0),"OK",IF(AND(D204="Gasto",H204&lt;0),"OK","⚠ Revisar signo")))</f>
        <v/>
      </c>
    </row>
    <row r="205" ht="15" customHeight="1" s="59">
      <c r="A205" s="75" t="n"/>
      <c r="B205" s="74" t="n"/>
      <c r="C205" s="74" t="n"/>
      <c r="D205" s="74" t="n"/>
      <c r="E205" s="74" t="n"/>
      <c r="F205" s="74" t="n"/>
      <c r="G205" s="89" t="n"/>
      <c r="H205" s="79" t="n"/>
      <c r="I205" s="90">
        <f>IF(A205="","",TEXT(A205,"yyyy-mm"))</f>
        <v/>
      </c>
      <c r="J205" s="90">
        <f>IF(D205="","",IF(AND(D205="Ingreso",H205&gt;0),"OK",IF(AND(D205="Gasto",H205&lt;0),"OK","⚠ Revisar signo")))</f>
        <v/>
      </c>
    </row>
    <row r="206" ht="15" customHeight="1" s="59">
      <c r="A206" s="75" t="n"/>
      <c r="B206" s="74" t="n"/>
      <c r="C206" s="74" t="n"/>
      <c r="D206" s="74" t="n"/>
      <c r="E206" s="74" t="n"/>
      <c r="F206" s="74" t="n"/>
      <c r="G206" s="89" t="n"/>
      <c r="H206" s="79" t="n"/>
      <c r="I206" s="90">
        <f>IF(A206="","",TEXT(A206,"yyyy-mm"))</f>
        <v/>
      </c>
      <c r="J206" s="90">
        <f>IF(D206="","",IF(AND(D206="Ingreso",H206&gt;0),"OK",IF(AND(D206="Gasto",H206&lt;0),"OK","⚠ Revisar signo")))</f>
        <v/>
      </c>
    </row>
    <row r="207" ht="15" customHeight="1" s="59">
      <c r="A207" s="75" t="n"/>
      <c r="B207" s="74" t="n"/>
      <c r="C207" s="74" t="n"/>
      <c r="D207" s="74" t="n"/>
      <c r="E207" s="74" t="n"/>
      <c r="F207" s="74" t="n"/>
      <c r="G207" s="89" t="n"/>
      <c r="H207" s="79" t="n"/>
      <c r="I207" s="90">
        <f>IF(A207="","",TEXT(A207,"yyyy-mm"))</f>
        <v/>
      </c>
      <c r="J207" s="90">
        <f>IF(D207="","",IF(AND(D207="Ingreso",H207&gt;0),"OK",IF(AND(D207="Gasto",H207&lt;0),"OK","⚠ Revisar signo")))</f>
        <v/>
      </c>
    </row>
    <row r="208" ht="15" customHeight="1" s="59">
      <c r="A208" s="75" t="n"/>
      <c r="B208" s="74" t="n"/>
      <c r="C208" s="74" t="n"/>
      <c r="D208" s="74" t="n"/>
      <c r="E208" s="74" t="n"/>
      <c r="F208" s="74" t="n"/>
      <c r="G208" s="89" t="n"/>
      <c r="H208" s="79" t="n"/>
      <c r="I208" s="90">
        <f>IF(A208="","",TEXT(A208,"yyyy-mm"))</f>
        <v/>
      </c>
      <c r="J208" s="90">
        <f>IF(D208="","",IF(AND(D208="Ingreso",H208&gt;0),"OK",IF(AND(D208="Gasto",H208&lt;0),"OK","⚠ Revisar signo")))</f>
        <v/>
      </c>
    </row>
    <row r="209" ht="15" customHeight="1" s="59">
      <c r="A209" s="75" t="n"/>
      <c r="B209" s="74" t="n"/>
      <c r="C209" s="74" t="n"/>
      <c r="D209" s="74" t="n"/>
      <c r="E209" s="74" t="n"/>
      <c r="F209" s="74" t="n"/>
      <c r="G209" s="89" t="n"/>
      <c r="H209" s="79" t="n"/>
      <c r="I209" s="90">
        <f>IF(A209="","",TEXT(A209,"yyyy-mm"))</f>
        <v/>
      </c>
      <c r="J209" s="90">
        <f>IF(D209="","",IF(AND(D209="Ingreso",H209&gt;0),"OK",IF(AND(D209="Gasto",H209&lt;0),"OK","⚠ Revisar signo")))</f>
        <v/>
      </c>
    </row>
    <row r="210" ht="15" customHeight="1" s="59">
      <c r="A210" s="75" t="n"/>
      <c r="B210" s="74" t="n"/>
      <c r="C210" s="74" t="n"/>
      <c r="D210" s="74" t="n"/>
      <c r="E210" s="74" t="n"/>
      <c r="F210" s="74" t="n"/>
      <c r="G210" s="89" t="n"/>
      <c r="H210" s="79" t="n"/>
      <c r="I210" s="90">
        <f>IF(A210="","",TEXT(A210,"yyyy-mm"))</f>
        <v/>
      </c>
      <c r="J210" s="90">
        <f>IF(D210="","",IF(AND(D210="Ingreso",H210&gt;0),"OK",IF(AND(D210="Gasto",H210&lt;0),"OK","⚠ Revisar signo")))</f>
        <v/>
      </c>
    </row>
    <row r="211" ht="15" customHeight="1" s="59">
      <c r="A211" s="75" t="n"/>
      <c r="B211" s="74" t="n"/>
      <c r="C211" s="74" t="n"/>
      <c r="D211" s="74" t="n"/>
      <c r="E211" s="74" t="n"/>
      <c r="F211" s="74" t="n"/>
      <c r="G211" s="89" t="n"/>
      <c r="H211" s="79" t="n"/>
      <c r="I211" s="90">
        <f>IF(A211="","",TEXT(A211,"yyyy-mm"))</f>
        <v/>
      </c>
      <c r="J211" s="90">
        <f>IF(D211="","",IF(AND(D211="Ingreso",H211&gt;0),"OK",IF(AND(D211="Gasto",H211&lt;0),"OK","⚠ Revisar signo")))</f>
        <v/>
      </c>
    </row>
    <row r="212" ht="15" customHeight="1" s="59">
      <c r="A212" s="75" t="n"/>
      <c r="B212" s="74" t="n"/>
      <c r="C212" s="74" t="n"/>
      <c r="D212" s="74" t="n"/>
      <c r="E212" s="74" t="n"/>
      <c r="F212" s="74" t="n"/>
      <c r="G212" s="89" t="n"/>
      <c r="H212" s="79" t="n"/>
      <c r="I212" s="90">
        <f>IF(A212="","",TEXT(A212,"yyyy-mm"))</f>
        <v/>
      </c>
      <c r="J212" s="90">
        <f>IF(D212="","",IF(AND(D212="Ingreso",H212&gt;0),"OK",IF(AND(D212="Gasto",H212&lt;0),"OK","⚠ Revisar signo")))</f>
        <v/>
      </c>
    </row>
    <row r="213" ht="15" customHeight="1" s="59">
      <c r="A213" s="75" t="n"/>
      <c r="B213" s="74" t="n"/>
      <c r="C213" s="74" t="n"/>
      <c r="D213" s="74" t="n"/>
      <c r="E213" s="74" t="n"/>
      <c r="F213" s="74" t="n"/>
      <c r="G213" s="89" t="n"/>
      <c r="H213" s="79" t="n"/>
      <c r="I213" s="90">
        <f>IF(A213="","",TEXT(A213,"yyyy-mm"))</f>
        <v/>
      </c>
      <c r="J213" s="90">
        <f>IF(D213="","",IF(AND(D213="Ingreso",H213&gt;0),"OK",IF(AND(D213="Gasto",H213&lt;0),"OK","⚠ Revisar signo")))</f>
        <v/>
      </c>
    </row>
    <row r="214" ht="15" customHeight="1" s="59">
      <c r="A214" s="75" t="n"/>
      <c r="B214" s="74" t="n"/>
      <c r="C214" s="74" t="n"/>
      <c r="D214" s="74" t="n"/>
      <c r="E214" s="74" t="n"/>
      <c r="F214" s="74" t="n"/>
      <c r="G214" s="89" t="n"/>
      <c r="H214" s="79" t="n"/>
      <c r="I214" s="90">
        <f>IF(A214="","",TEXT(A214,"yyyy-mm"))</f>
        <v/>
      </c>
      <c r="J214" s="90">
        <f>IF(D214="","",IF(AND(D214="Ingreso",H214&gt;0),"OK",IF(AND(D214="Gasto",H214&lt;0),"OK","⚠ Revisar signo")))</f>
        <v/>
      </c>
    </row>
    <row r="215" ht="15" customHeight="1" s="59">
      <c r="A215" s="75" t="n"/>
      <c r="B215" s="74" t="n"/>
      <c r="C215" s="74" t="n"/>
      <c r="D215" s="74" t="n"/>
      <c r="E215" s="74" t="n"/>
      <c r="F215" s="74" t="n"/>
      <c r="G215" s="89" t="n"/>
      <c r="H215" s="79" t="n"/>
      <c r="I215" s="90">
        <f>IF(A215="","",TEXT(A215,"yyyy-mm"))</f>
        <v/>
      </c>
      <c r="J215" s="90">
        <f>IF(D215="","",IF(AND(D215="Ingreso",H215&gt;0),"OK",IF(AND(D215="Gasto",H215&lt;0),"OK","⚠ Revisar signo")))</f>
        <v/>
      </c>
    </row>
    <row r="216" ht="15" customHeight="1" s="59">
      <c r="A216" s="75" t="n"/>
      <c r="B216" s="74" t="n"/>
      <c r="C216" s="74" t="n"/>
      <c r="D216" s="74" t="n"/>
      <c r="E216" s="74" t="n"/>
      <c r="F216" s="74" t="n"/>
      <c r="G216" s="89" t="n"/>
      <c r="H216" s="79" t="n"/>
      <c r="I216" s="90">
        <f>IF(A216="","",TEXT(A216,"yyyy-mm"))</f>
        <v/>
      </c>
      <c r="J216" s="90">
        <f>IF(D216="","",IF(AND(D216="Ingreso",H216&gt;0),"OK",IF(AND(D216="Gasto",H216&lt;0),"OK","⚠ Revisar signo")))</f>
        <v/>
      </c>
    </row>
    <row r="217" ht="15" customHeight="1" s="59">
      <c r="A217" s="75" t="n"/>
      <c r="B217" s="74" t="n"/>
      <c r="C217" s="74" t="n"/>
      <c r="D217" s="74" t="n"/>
      <c r="E217" s="74" t="n"/>
      <c r="F217" s="74" t="n"/>
      <c r="G217" s="89" t="n"/>
      <c r="H217" s="79" t="n"/>
      <c r="I217" s="90">
        <f>IF(A217="","",TEXT(A217,"yyyy-mm"))</f>
        <v/>
      </c>
      <c r="J217" s="90">
        <f>IF(D217="","",IF(AND(D217="Ingreso",H217&gt;0),"OK",IF(AND(D217="Gasto",H217&lt;0),"OK","⚠ Revisar signo")))</f>
        <v/>
      </c>
    </row>
    <row r="218" ht="15" customHeight="1" s="59">
      <c r="A218" s="75" t="n"/>
      <c r="B218" s="74" t="n"/>
      <c r="C218" s="74" t="n"/>
      <c r="D218" s="74" t="n"/>
      <c r="E218" s="74" t="n"/>
      <c r="F218" s="74" t="n"/>
      <c r="G218" s="89" t="n"/>
      <c r="H218" s="79" t="n"/>
      <c r="I218" s="90">
        <f>IF(A218="","",TEXT(A218,"yyyy-mm"))</f>
        <v/>
      </c>
      <c r="J218" s="90">
        <f>IF(D218="","",IF(AND(D218="Ingreso",H218&gt;0),"OK",IF(AND(D218="Gasto",H218&lt;0),"OK","⚠ Revisar signo")))</f>
        <v/>
      </c>
    </row>
    <row r="219" ht="15" customHeight="1" s="59">
      <c r="A219" s="75" t="n"/>
      <c r="B219" s="74" t="n"/>
      <c r="C219" s="74" t="n"/>
      <c r="D219" s="74" t="n"/>
      <c r="E219" s="74" t="n"/>
      <c r="F219" s="74" t="n"/>
      <c r="G219" s="89" t="n"/>
      <c r="H219" s="79" t="n"/>
      <c r="I219" s="90">
        <f>IF(A219="","",TEXT(A219,"yyyy-mm"))</f>
        <v/>
      </c>
      <c r="J219" s="90">
        <f>IF(D219="","",IF(AND(D219="Ingreso",H219&gt;0),"OK",IF(AND(D219="Gasto",H219&lt;0),"OK","⚠ Revisar signo")))</f>
        <v/>
      </c>
    </row>
    <row r="220" ht="15" customHeight="1" s="59">
      <c r="A220" s="75" t="n"/>
      <c r="B220" s="74" t="n"/>
      <c r="C220" s="74" t="n"/>
      <c r="D220" s="74" t="n"/>
      <c r="E220" s="74" t="n"/>
      <c r="F220" s="74" t="n"/>
      <c r="G220" s="89" t="n"/>
      <c r="H220" s="79" t="n"/>
      <c r="I220" s="90">
        <f>IF(A220="","",TEXT(A220,"yyyy-mm"))</f>
        <v/>
      </c>
      <c r="J220" s="90">
        <f>IF(D220="","",IF(AND(D220="Ingreso",H220&gt;0),"OK",IF(AND(D220="Gasto",H220&lt;0),"OK","⚠ Revisar signo")))</f>
        <v/>
      </c>
    </row>
    <row r="221" ht="15" customHeight="1" s="59">
      <c r="A221" s="75" t="n"/>
      <c r="B221" s="74" t="n"/>
      <c r="C221" s="74" t="n"/>
      <c r="D221" s="74" t="n"/>
      <c r="E221" s="74" t="n"/>
      <c r="F221" s="74" t="n"/>
      <c r="G221" s="89" t="n"/>
      <c r="H221" s="79" t="n"/>
      <c r="I221" s="90">
        <f>IF(A221="","",TEXT(A221,"yyyy-mm"))</f>
        <v/>
      </c>
      <c r="J221" s="90">
        <f>IF(D221="","",IF(AND(D221="Ingreso",H221&gt;0),"OK",IF(AND(D221="Gasto",H221&lt;0),"OK","⚠ Revisar signo")))</f>
        <v/>
      </c>
    </row>
    <row r="222" ht="15" customHeight="1" s="59">
      <c r="A222" s="75" t="n"/>
      <c r="B222" s="74" t="n"/>
      <c r="C222" s="74" t="n"/>
      <c r="D222" s="74" t="n"/>
      <c r="E222" s="74" t="n"/>
      <c r="F222" s="74" t="n"/>
      <c r="G222" s="89" t="n"/>
      <c r="H222" s="79" t="n"/>
      <c r="I222" s="90">
        <f>IF(A222="","",TEXT(A222,"yyyy-mm"))</f>
        <v/>
      </c>
      <c r="J222" s="90">
        <f>IF(D222="","",IF(AND(D222="Ingreso",H222&gt;0),"OK",IF(AND(D222="Gasto",H222&lt;0),"OK","⚠ Revisar signo")))</f>
        <v/>
      </c>
    </row>
    <row r="223" ht="15" customHeight="1" s="59">
      <c r="A223" s="75" t="n"/>
      <c r="B223" s="74" t="n"/>
      <c r="C223" s="74" t="n"/>
      <c r="D223" s="74" t="n"/>
      <c r="E223" s="74" t="n"/>
      <c r="F223" s="74" t="n"/>
      <c r="G223" s="89" t="n"/>
      <c r="H223" s="79" t="n"/>
      <c r="I223" s="90">
        <f>IF(A223="","",TEXT(A223,"yyyy-mm"))</f>
        <v/>
      </c>
      <c r="J223" s="90">
        <f>IF(D223="","",IF(AND(D223="Ingreso",H223&gt;0),"OK",IF(AND(D223="Gasto",H223&lt;0),"OK","⚠ Revisar signo")))</f>
        <v/>
      </c>
    </row>
    <row r="224" ht="15" customHeight="1" s="59">
      <c r="A224" s="75" t="n"/>
      <c r="B224" s="74" t="n"/>
      <c r="C224" s="74" t="n"/>
      <c r="D224" s="74" t="n"/>
      <c r="E224" s="74" t="n"/>
      <c r="F224" s="74" t="n"/>
      <c r="G224" s="89" t="n"/>
      <c r="H224" s="79" t="n"/>
      <c r="I224" s="90">
        <f>IF(A224="","",TEXT(A224,"yyyy-mm"))</f>
        <v/>
      </c>
      <c r="J224" s="90">
        <f>IF(D224="","",IF(AND(D224="Ingreso",H224&gt;0),"OK",IF(AND(D224="Gasto",H224&lt;0),"OK","⚠ Revisar signo")))</f>
        <v/>
      </c>
    </row>
    <row r="225" ht="15" customHeight="1" s="59">
      <c r="A225" s="75" t="n"/>
      <c r="B225" s="74" t="n"/>
      <c r="C225" s="74" t="n"/>
      <c r="D225" s="74" t="n"/>
      <c r="E225" s="74" t="n"/>
      <c r="F225" s="74" t="n"/>
      <c r="G225" s="89" t="n"/>
      <c r="H225" s="79" t="n"/>
      <c r="I225" s="90">
        <f>IF(A225="","",TEXT(A225,"yyyy-mm"))</f>
        <v/>
      </c>
      <c r="J225" s="90">
        <f>IF(D225="","",IF(AND(D225="Ingreso",H225&gt;0),"OK",IF(AND(D225="Gasto",H225&lt;0),"OK","⚠ Revisar signo")))</f>
        <v/>
      </c>
    </row>
    <row r="226" ht="15" customHeight="1" s="59">
      <c r="A226" s="75" t="n"/>
      <c r="B226" s="74" t="n"/>
      <c r="C226" s="74" t="n"/>
      <c r="D226" s="74" t="n"/>
      <c r="E226" s="74" t="n"/>
      <c r="F226" s="74" t="n"/>
      <c r="G226" s="89" t="n"/>
      <c r="H226" s="79" t="n"/>
      <c r="I226" s="90">
        <f>IF(A226="","",TEXT(A226,"yyyy-mm"))</f>
        <v/>
      </c>
      <c r="J226" s="90">
        <f>IF(D226="","",IF(AND(D226="Ingreso",H226&gt;0),"OK",IF(AND(D226="Gasto",H226&lt;0),"OK","⚠ Revisar signo")))</f>
        <v/>
      </c>
    </row>
    <row r="227" ht="15" customHeight="1" s="59">
      <c r="A227" s="75" t="n"/>
      <c r="B227" s="74" t="n"/>
      <c r="C227" s="74" t="n"/>
      <c r="D227" s="74" t="n"/>
      <c r="E227" s="74" t="n"/>
      <c r="F227" s="74" t="n"/>
      <c r="G227" s="89" t="n"/>
      <c r="H227" s="79" t="n"/>
      <c r="I227" s="90">
        <f>IF(A227="","",TEXT(A227,"yyyy-mm"))</f>
        <v/>
      </c>
      <c r="J227" s="90">
        <f>IF(D227="","",IF(AND(D227="Ingreso",H227&gt;0),"OK",IF(AND(D227="Gasto",H227&lt;0),"OK","⚠ Revisar signo")))</f>
        <v/>
      </c>
    </row>
    <row r="228" ht="15" customHeight="1" s="59">
      <c r="A228" s="75" t="n"/>
      <c r="B228" s="74" t="n"/>
      <c r="C228" s="74" t="n"/>
      <c r="D228" s="74" t="n"/>
      <c r="E228" s="74" t="n"/>
      <c r="F228" s="74" t="n"/>
      <c r="G228" s="89" t="n"/>
      <c r="H228" s="79" t="n"/>
      <c r="I228" s="90">
        <f>IF(A228="","",TEXT(A228,"yyyy-mm"))</f>
        <v/>
      </c>
      <c r="J228" s="90">
        <f>IF(D228="","",IF(AND(D228="Ingreso",H228&gt;0),"OK",IF(AND(D228="Gasto",H228&lt;0),"OK","⚠ Revisar signo")))</f>
        <v/>
      </c>
    </row>
    <row r="229" ht="15" customHeight="1" s="59">
      <c r="A229" s="75" t="n"/>
      <c r="B229" s="74" t="n"/>
      <c r="C229" s="74" t="n"/>
      <c r="D229" s="74" t="n"/>
      <c r="E229" s="74" t="n"/>
      <c r="F229" s="74" t="n"/>
      <c r="G229" s="89" t="n"/>
      <c r="H229" s="79" t="n"/>
      <c r="I229" s="90">
        <f>IF(A229="","",TEXT(A229,"yyyy-mm"))</f>
        <v/>
      </c>
      <c r="J229" s="90">
        <f>IF(D229="","",IF(AND(D229="Ingreso",H229&gt;0),"OK",IF(AND(D229="Gasto",H229&lt;0),"OK","⚠ Revisar signo")))</f>
        <v/>
      </c>
    </row>
    <row r="230" ht="15" customHeight="1" s="59">
      <c r="A230" s="75" t="n"/>
      <c r="B230" s="74" t="n"/>
      <c r="C230" s="74" t="n"/>
      <c r="D230" s="74" t="n"/>
      <c r="E230" s="74" t="n"/>
      <c r="F230" s="74" t="n"/>
      <c r="G230" s="89" t="n"/>
      <c r="H230" s="79" t="n"/>
      <c r="I230" s="90">
        <f>IF(A230="","",TEXT(A230,"yyyy-mm"))</f>
        <v/>
      </c>
      <c r="J230" s="90">
        <f>IF(D230="","",IF(AND(D230="Ingreso",H230&gt;0),"OK",IF(AND(D230="Gasto",H230&lt;0),"OK","⚠ Revisar signo")))</f>
        <v/>
      </c>
    </row>
    <row r="231" ht="15" customHeight="1" s="59">
      <c r="A231" s="75" t="n"/>
      <c r="B231" s="74" t="n"/>
      <c r="C231" s="74" t="n"/>
      <c r="D231" s="74" t="n"/>
      <c r="E231" s="74" t="n"/>
      <c r="F231" s="74" t="n"/>
      <c r="G231" s="89" t="n"/>
      <c r="H231" s="79" t="n"/>
      <c r="I231" s="90">
        <f>IF(A231="","",TEXT(A231,"yyyy-mm"))</f>
        <v/>
      </c>
      <c r="J231" s="90">
        <f>IF(D231="","",IF(AND(D231="Ingreso",H231&gt;0),"OK",IF(AND(D231="Gasto",H231&lt;0),"OK","⚠ Revisar signo")))</f>
        <v/>
      </c>
    </row>
    <row r="232" ht="15" customHeight="1" s="59">
      <c r="A232" s="75" t="n"/>
      <c r="B232" s="74" t="n"/>
      <c r="C232" s="74" t="n"/>
      <c r="D232" s="74" t="n"/>
      <c r="E232" s="74" t="n"/>
      <c r="F232" s="74" t="n"/>
      <c r="G232" s="89" t="n"/>
      <c r="H232" s="79" t="n"/>
      <c r="I232" s="90">
        <f>IF(A232="","",TEXT(A232,"yyyy-mm"))</f>
        <v/>
      </c>
      <c r="J232" s="90">
        <f>IF(D232="","",IF(AND(D232="Ingreso",H232&gt;0),"OK",IF(AND(D232="Gasto",H232&lt;0),"OK","⚠ Revisar signo")))</f>
        <v/>
      </c>
    </row>
    <row r="233" ht="15" customHeight="1" s="59">
      <c r="A233" s="75" t="n"/>
      <c r="B233" s="74" t="n"/>
      <c r="C233" s="74" t="n"/>
      <c r="D233" s="74" t="n"/>
      <c r="E233" s="74" t="n"/>
      <c r="F233" s="74" t="n"/>
      <c r="G233" s="89" t="n"/>
      <c r="H233" s="79" t="n"/>
      <c r="I233" s="90">
        <f>IF(A233="","",TEXT(A233,"yyyy-mm"))</f>
        <v/>
      </c>
      <c r="J233" s="90">
        <f>IF(D233="","",IF(AND(D233="Ingreso",H233&gt;0),"OK",IF(AND(D233="Gasto",H233&lt;0),"OK","⚠ Revisar signo")))</f>
        <v/>
      </c>
    </row>
    <row r="234" ht="15" customHeight="1" s="59">
      <c r="A234" s="75" t="n"/>
      <c r="B234" s="74" t="n"/>
      <c r="C234" s="74" t="n"/>
      <c r="D234" s="74" t="n"/>
      <c r="E234" s="74" t="n"/>
      <c r="F234" s="74" t="n"/>
      <c r="G234" s="89" t="n"/>
      <c r="H234" s="79" t="n"/>
      <c r="I234" s="90">
        <f>IF(A234="","",TEXT(A234,"yyyy-mm"))</f>
        <v/>
      </c>
      <c r="J234" s="90">
        <f>IF(D234="","",IF(AND(D234="Ingreso",H234&gt;0),"OK",IF(AND(D234="Gasto",H234&lt;0),"OK","⚠ Revisar signo")))</f>
        <v/>
      </c>
    </row>
    <row r="235" ht="15" customHeight="1" s="59">
      <c r="A235" s="75" t="n"/>
      <c r="B235" s="74" t="n"/>
      <c r="C235" s="74" t="n"/>
      <c r="D235" s="74" t="n"/>
      <c r="E235" s="74" t="n"/>
      <c r="F235" s="74" t="n"/>
      <c r="G235" s="89" t="n"/>
      <c r="H235" s="79" t="n"/>
      <c r="I235" s="90">
        <f>IF(A235="","",TEXT(A235,"yyyy-mm"))</f>
        <v/>
      </c>
      <c r="J235" s="90">
        <f>IF(D235="","",IF(AND(D235="Ingreso",H235&gt;0),"OK",IF(AND(D235="Gasto",H235&lt;0),"OK","⚠ Revisar signo")))</f>
        <v/>
      </c>
    </row>
    <row r="236" ht="15" customHeight="1" s="59">
      <c r="A236" s="75" t="n"/>
      <c r="B236" s="74" t="n"/>
      <c r="C236" s="74" t="n"/>
      <c r="D236" s="74" t="n"/>
      <c r="E236" s="74" t="n"/>
      <c r="F236" s="74" t="n"/>
      <c r="G236" s="89" t="n"/>
      <c r="H236" s="79" t="n"/>
      <c r="I236" s="90">
        <f>IF(A236="","",TEXT(A236,"yyyy-mm"))</f>
        <v/>
      </c>
      <c r="J236" s="90">
        <f>IF(D236="","",IF(AND(D236="Ingreso",H236&gt;0),"OK",IF(AND(D236="Gasto",H236&lt;0),"OK","⚠ Revisar signo")))</f>
        <v/>
      </c>
    </row>
    <row r="237" ht="15" customHeight="1" s="59">
      <c r="A237" s="75" t="n"/>
      <c r="B237" s="74" t="n"/>
      <c r="C237" s="74" t="n"/>
      <c r="D237" s="74" t="n"/>
      <c r="E237" s="74" t="n"/>
      <c r="F237" s="74" t="n"/>
      <c r="G237" s="89" t="n"/>
      <c r="H237" s="79" t="n"/>
      <c r="I237" s="90">
        <f>IF(A237="","",TEXT(A237,"yyyy-mm"))</f>
        <v/>
      </c>
      <c r="J237" s="90">
        <f>IF(D237="","",IF(AND(D237="Ingreso",H237&gt;0),"OK",IF(AND(D237="Gasto",H237&lt;0),"OK","⚠ Revisar signo")))</f>
        <v/>
      </c>
    </row>
    <row r="238" ht="15" customHeight="1" s="59">
      <c r="A238" s="75" t="n"/>
      <c r="B238" s="74" t="n"/>
      <c r="C238" s="74" t="n"/>
      <c r="D238" s="74" t="n"/>
      <c r="E238" s="74" t="n"/>
      <c r="F238" s="74" t="n"/>
      <c r="G238" s="89" t="n"/>
      <c r="H238" s="79" t="n"/>
      <c r="I238" s="90">
        <f>IF(A238="","",TEXT(A238,"yyyy-mm"))</f>
        <v/>
      </c>
      <c r="J238" s="90">
        <f>IF(D238="","",IF(AND(D238="Ingreso",H238&gt;0),"OK",IF(AND(D238="Gasto",H238&lt;0),"OK","⚠ Revisar signo")))</f>
        <v/>
      </c>
    </row>
    <row r="239" ht="15" customHeight="1" s="59">
      <c r="A239" s="75" t="n"/>
      <c r="B239" s="74" t="n"/>
      <c r="C239" s="74" t="n"/>
      <c r="D239" s="74" t="n"/>
      <c r="E239" s="74" t="n"/>
      <c r="F239" s="74" t="n"/>
      <c r="G239" s="89" t="n"/>
      <c r="H239" s="79" t="n"/>
      <c r="I239" s="90">
        <f>IF(A239="","",TEXT(A239,"yyyy-mm"))</f>
        <v/>
      </c>
      <c r="J239" s="90">
        <f>IF(D239="","",IF(AND(D239="Ingreso",H239&gt;0),"OK",IF(AND(D239="Gasto",H239&lt;0),"OK","⚠ Revisar signo")))</f>
        <v/>
      </c>
    </row>
    <row r="240" ht="15" customHeight="1" s="59">
      <c r="A240" s="75" t="n"/>
      <c r="B240" s="74" t="n"/>
      <c r="C240" s="74" t="n"/>
      <c r="D240" s="74" t="n"/>
      <c r="E240" s="74" t="n"/>
      <c r="F240" s="74" t="n"/>
      <c r="G240" s="89" t="n"/>
      <c r="H240" s="79" t="n"/>
      <c r="I240" s="90">
        <f>IF(A240="","",TEXT(A240,"yyyy-mm"))</f>
        <v/>
      </c>
      <c r="J240" s="90">
        <f>IF(D240="","",IF(AND(D240="Ingreso",H240&gt;0),"OK",IF(AND(D240="Gasto",H240&lt;0),"OK","⚠ Revisar signo")))</f>
        <v/>
      </c>
    </row>
    <row r="241" ht="15" customHeight="1" s="59">
      <c r="A241" s="75" t="n"/>
      <c r="B241" s="74" t="n"/>
      <c r="C241" s="74" t="n"/>
      <c r="D241" s="74" t="n"/>
      <c r="E241" s="74" t="n"/>
      <c r="F241" s="74" t="n"/>
      <c r="G241" s="89" t="n"/>
      <c r="H241" s="79" t="n"/>
      <c r="I241" s="90">
        <f>IF(A241="","",TEXT(A241,"yyyy-mm"))</f>
        <v/>
      </c>
      <c r="J241" s="90">
        <f>IF(D241="","",IF(AND(D241="Ingreso",H241&gt;0),"OK",IF(AND(D241="Gasto",H241&lt;0),"OK","⚠ Revisar signo")))</f>
        <v/>
      </c>
    </row>
    <row r="242" ht="15" customHeight="1" s="59">
      <c r="A242" s="75" t="n"/>
      <c r="B242" s="74" t="n"/>
      <c r="C242" s="74" t="n"/>
      <c r="D242" s="74" t="n"/>
      <c r="E242" s="74" t="n"/>
      <c r="F242" s="74" t="n"/>
      <c r="G242" s="89" t="n"/>
      <c r="H242" s="79" t="n"/>
      <c r="I242" s="90">
        <f>IF(A242="","",TEXT(A242,"yyyy-mm"))</f>
        <v/>
      </c>
      <c r="J242" s="90">
        <f>IF(D242="","",IF(AND(D242="Ingreso",H242&gt;0),"OK",IF(AND(D242="Gasto",H242&lt;0),"OK","⚠ Revisar signo")))</f>
        <v/>
      </c>
    </row>
    <row r="243" ht="15" customHeight="1" s="59">
      <c r="A243" s="75" t="n"/>
      <c r="B243" s="74" t="n"/>
      <c r="C243" s="74" t="n"/>
      <c r="D243" s="74" t="n"/>
      <c r="E243" s="74" t="n"/>
      <c r="F243" s="74" t="n"/>
      <c r="G243" s="89" t="n"/>
      <c r="H243" s="79" t="n"/>
      <c r="I243" s="90">
        <f>IF(A243="","",TEXT(A243,"yyyy-mm"))</f>
        <v/>
      </c>
      <c r="J243" s="90">
        <f>IF(D243="","",IF(AND(D243="Ingreso",H243&gt;0),"OK",IF(AND(D243="Gasto",H243&lt;0),"OK","⚠ Revisar signo")))</f>
        <v/>
      </c>
    </row>
    <row r="244" ht="15" customHeight="1" s="59">
      <c r="A244" s="75" t="n"/>
      <c r="B244" s="74" t="n"/>
      <c r="C244" s="74" t="n"/>
      <c r="D244" s="74" t="n"/>
      <c r="E244" s="74" t="n"/>
      <c r="F244" s="74" t="n"/>
      <c r="G244" s="89" t="n"/>
      <c r="H244" s="79" t="n"/>
      <c r="I244" s="90">
        <f>IF(A244="","",TEXT(A244,"yyyy-mm"))</f>
        <v/>
      </c>
      <c r="J244" s="90">
        <f>IF(D244="","",IF(AND(D244="Ingreso",H244&gt;0),"OK",IF(AND(D244="Gasto",H244&lt;0),"OK","⚠ Revisar signo")))</f>
        <v/>
      </c>
    </row>
    <row r="245" ht="15" customHeight="1" s="59">
      <c r="A245" s="75" t="n"/>
      <c r="B245" s="74" t="n"/>
      <c r="C245" s="74" t="n"/>
      <c r="D245" s="74" t="n"/>
      <c r="E245" s="74" t="n"/>
      <c r="F245" s="74" t="n"/>
      <c r="G245" s="89" t="n"/>
      <c r="H245" s="79" t="n"/>
      <c r="I245" s="90">
        <f>IF(A245="","",TEXT(A245,"yyyy-mm"))</f>
        <v/>
      </c>
      <c r="J245" s="90">
        <f>IF(D245="","",IF(AND(D245="Ingreso",H245&gt;0),"OK",IF(AND(D245="Gasto",H245&lt;0),"OK","⚠ Revisar signo")))</f>
        <v/>
      </c>
    </row>
    <row r="246" ht="15" customHeight="1" s="59">
      <c r="A246" s="75" t="n"/>
      <c r="B246" s="74" t="n"/>
      <c r="C246" s="74" t="n"/>
      <c r="D246" s="74" t="n"/>
      <c r="E246" s="74" t="n"/>
      <c r="F246" s="74" t="n"/>
      <c r="G246" s="89" t="n"/>
      <c r="H246" s="79" t="n"/>
      <c r="I246" s="90">
        <f>IF(A246="","",TEXT(A246,"yyyy-mm"))</f>
        <v/>
      </c>
      <c r="J246" s="90">
        <f>IF(D246="","",IF(AND(D246="Ingreso",H246&gt;0),"OK",IF(AND(D246="Gasto",H246&lt;0),"OK","⚠ Revisar signo")))</f>
        <v/>
      </c>
    </row>
    <row r="247" ht="15" customHeight="1" s="59">
      <c r="A247" s="75" t="n"/>
      <c r="B247" s="74" t="n"/>
      <c r="C247" s="74" t="n"/>
      <c r="D247" s="74" t="n"/>
      <c r="E247" s="74" t="n"/>
      <c r="F247" s="74" t="n"/>
      <c r="G247" s="89" t="n"/>
      <c r="H247" s="79" t="n"/>
      <c r="I247" s="90">
        <f>IF(A247="","",TEXT(A247,"yyyy-mm"))</f>
        <v/>
      </c>
      <c r="J247" s="90">
        <f>IF(D247="","",IF(AND(D247="Ingreso",H247&gt;0),"OK",IF(AND(D247="Gasto",H247&lt;0),"OK","⚠ Revisar signo")))</f>
        <v/>
      </c>
    </row>
    <row r="248" ht="15" customHeight="1" s="59">
      <c r="A248" s="75" t="n"/>
      <c r="B248" s="74" t="n"/>
      <c r="C248" s="74" t="n"/>
      <c r="D248" s="74" t="n"/>
      <c r="E248" s="74" t="n"/>
      <c r="F248" s="74" t="n"/>
      <c r="G248" s="89" t="n"/>
      <c r="H248" s="79" t="n"/>
      <c r="I248" s="90">
        <f>IF(A248="","",TEXT(A248,"yyyy-mm"))</f>
        <v/>
      </c>
      <c r="J248" s="90">
        <f>IF(D248="","",IF(AND(D248="Ingreso",H248&gt;0),"OK",IF(AND(D248="Gasto",H248&lt;0),"OK","⚠ Revisar signo")))</f>
        <v/>
      </c>
    </row>
    <row r="249" ht="15" customHeight="1" s="59">
      <c r="A249" s="75" t="n"/>
      <c r="B249" s="74" t="n"/>
      <c r="C249" s="74" t="n"/>
      <c r="D249" s="74" t="n"/>
      <c r="E249" s="74" t="n"/>
      <c r="F249" s="74" t="n"/>
      <c r="G249" s="89" t="n"/>
      <c r="H249" s="79" t="n"/>
      <c r="I249" s="90">
        <f>IF(A249="","",TEXT(A249,"yyyy-mm"))</f>
        <v/>
      </c>
      <c r="J249" s="90">
        <f>IF(D249="","",IF(AND(D249="Ingreso",H249&gt;0),"OK",IF(AND(D249="Gasto",H249&lt;0),"OK","⚠ Revisar signo")))</f>
        <v/>
      </c>
    </row>
    <row r="250" ht="15" customHeight="1" s="59">
      <c r="A250" s="75" t="n"/>
      <c r="B250" s="74" t="n"/>
      <c r="C250" s="74" t="n"/>
      <c r="D250" s="74" t="n"/>
      <c r="E250" s="74" t="n"/>
      <c r="F250" s="74" t="n"/>
      <c r="G250" s="89" t="n"/>
      <c r="H250" s="79" t="n"/>
      <c r="I250" s="90">
        <f>IF(A250="","",TEXT(A250,"yyyy-mm"))</f>
        <v/>
      </c>
      <c r="J250" s="90">
        <f>IF(D250="","",IF(AND(D250="Ingreso",H250&gt;0),"OK",IF(AND(D250="Gasto",H250&lt;0),"OK","⚠ Revisar signo")))</f>
        <v/>
      </c>
    </row>
    <row r="251" ht="15" customHeight="1" s="59">
      <c r="A251" s="75" t="n"/>
      <c r="B251" s="74" t="n"/>
      <c r="C251" s="74" t="n"/>
      <c r="D251" s="74" t="n"/>
      <c r="E251" s="74" t="n"/>
      <c r="F251" s="74" t="n"/>
      <c r="G251" s="89" t="n"/>
      <c r="H251" s="79" t="n"/>
      <c r="I251" s="90">
        <f>IF(A251="","",TEXT(A251,"yyyy-mm"))</f>
        <v/>
      </c>
      <c r="J251" s="90">
        <f>IF(D251="","",IF(AND(D251="Ingreso",H251&gt;0),"OK",IF(AND(D251="Gasto",H251&lt;0),"OK","⚠ Revisar signo")))</f>
        <v/>
      </c>
    </row>
    <row r="252" ht="15" customHeight="1" s="59">
      <c r="A252" s="75" t="n"/>
      <c r="B252" s="74" t="n"/>
      <c r="C252" s="74" t="n"/>
      <c r="D252" s="74" t="n"/>
      <c r="E252" s="74" t="n"/>
      <c r="F252" s="74" t="n"/>
      <c r="G252" s="89" t="n"/>
      <c r="H252" s="79" t="n"/>
      <c r="I252" s="90">
        <f>IF(A252="","",TEXT(A252,"yyyy-mm"))</f>
        <v/>
      </c>
      <c r="J252" s="90">
        <f>IF(D252="","",IF(AND(D252="Ingreso",H252&gt;0),"OK",IF(AND(D252="Gasto",H252&lt;0),"OK","⚠ Revisar signo")))</f>
        <v/>
      </c>
    </row>
    <row r="253" ht="15" customHeight="1" s="59">
      <c r="A253" s="75" t="n"/>
      <c r="B253" s="74" t="n"/>
      <c r="C253" s="74" t="n"/>
      <c r="D253" s="74" t="n"/>
      <c r="E253" s="74" t="n"/>
      <c r="F253" s="74" t="n"/>
      <c r="G253" s="89" t="n"/>
      <c r="H253" s="79" t="n"/>
      <c r="I253" s="90">
        <f>IF(A253="","",TEXT(A253,"yyyy-mm"))</f>
        <v/>
      </c>
      <c r="J253" s="90">
        <f>IF(D253="","",IF(AND(D253="Ingreso",H253&gt;0),"OK",IF(AND(D253="Gasto",H253&lt;0),"OK","⚠ Revisar signo")))</f>
        <v/>
      </c>
    </row>
    <row r="254" ht="15" customHeight="1" s="59">
      <c r="A254" s="75" t="n"/>
      <c r="B254" s="74" t="n"/>
      <c r="C254" s="74" t="n"/>
      <c r="D254" s="74" t="n"/>
      <c r="E254" s="74" t="n"/>
      <c r="F254" s="74" t="n"/>
      <c r="G254" s="89" t="n"/>
      <c r="H254" s="79" t="n"/>
      <c r="I254" s="90">
        <f>IF(A254="","",TEXT(A254,"yyyy-mm"))</f>
        <v/>
      </c>
      <c r="J254" s="90">
        <f>IF(D254="","",IF(AND(D254="Ingreso",H254&gt;0),"OK",IF(AND(D254="Gasto",H254&lt;0),"OK","⚠ Revisar signo")))</f>
        <v/>
      </c>
    </row>
    <row r="255" ht="15" customHeight="1" s="59">
      <c r="A255" s="75" t="n"/>
      <c r="B255" s="74" t="n"/>
      <c r="C255" s="74" t="n"/>
      <c r="D255" s="74" t="n"/>
      <c r="E255" s="74" t="n"/>
      <c r="F255" s="74" t="n"/>
      <c r="G255" s="89" t="n"/>
      <c r="H255" s="79" t="n"/>
      <c r="I255" s="90">
        <f>IF(A255="","",TEXT(A255,"yyyy-mm"))</f>
        <v/>
      </c>
      <c r="J255" s="90">
        <f>IF(D255="","",IF(AND(D255="Ingreso",H255&gt;0),"OK",IF(AND(D255="Gasto",H255&lt;0),"OK","⚠ Revisar signo")))</f>
        <v/>
      </c>
    </row>
    <row r="256" ht="15" customHeight="1" s="59">
      <c r="A256" s="75" t="n"/>
      <c r="B256" s="74" t="n"/>
      <c r="C256" s="74" t="n"/>
      <c r="D256" s="74" t="n"/>
      <c r="E256" s="74" t="n"/>
      <c r="F256" s="74" t="n"/>
      <c r="G256" s="89" t="n"/>
      <c r="H256" s="79" t="n"/>
      <c r="I256" s="90">
        <f>IF(A256="","",TEXT(A256,"yyyy-mm"))</f>
        <v/>
      </c>
      <c r="J256" s="90">
        <f>IF(D256="","",IF(AND(D256="Ingreso",H256&gt;0),"OK",IF(AND(D256="Gasto",H256&lt;0),"OK","⚠ Revisar signo")))</f>
        <v/>
      </c>
    </row>
    <row r="257" ht="15" customHeight="1" s="59">
      <c r="A257" s="75" t="n"/>
      <c r="B257" s="74" t="n"/>
      <c r="C257" s="74" t="n"/>
      <c r="D257" s="74" t="n"/>
      <c r="E257" s="74" t="n"/>
      <c r="F257" s="74" t="n"/>
      <c r="G257" s="89" t="n"/>
      <c r="H257" s="79" t="n"/>
      <c r="I257" s="90">
        <f>IF(A257="","",TEXT(A257,"yyyy-mm"))</f>
        <v/>
      </c>
      <c r="J257" s="90">
        <f>IF(D257="","",IF(AND(D257="Ingreso",H257&gt;0),"OK",IF(AND(D257="Gasto",H257&lt;0),"OK","⚠ Revisar signo")))</f>
        <v/>
      </c>
    </row>
    <row r="258" ht="15" customHeight="1" s="59">
      <c r="A258" s="75" t="n"/>
      <c r="B258" s="74" t="n"/>
      <c r="C258" s="74" t="n"/>
      <c r="D258" s="74" t="n"/>
      <c r="E258" s="74" t="n"/>
      <c r="F258" s="74" t="n"/>
      <c r="G258" s="89" t="n"/>
      <c r="H258" s="79" t="n"/>
      <c r="I258" s="90">
        <f>IF(A258="","",TEXT(A258,"yyyy-mm"))</f>
        <v/>
      </c>
      <c r="J258" s="90">
        <f>IF(D258="","",IF(AND(D258="Ingreso",H258&gt;0),"OK",IF(AND(D258="Gasto",H258&lt;0),"OK","⚠ Revisar signo")))</f>
        <v/>
      </c>
    </row>
    <row r="259" ht="15" customHeight="1" s="59">
      <c r="A259" s="75" t="n"/>
      <c r="B259" s="74" t="n"/>
      <c r="C259" s="74" t="n"/>
      <c r="D259" s="74" t="n"/>
      <c r="E259" s="74" t="n"/>
      <c r="F259" s="74" t="n"/>
      <c r="G259" s="89" t="n"/>
      <c r="H259" s="79" t="n"/>
      <c r="I259" s="90">
        <f>IF(A259="","",TEXT(A259,"yyyy-mm"))</f>
        <v/>
      </c>
      <c r="J259" s="90">
        <f>IF(D259="","",IF(AND(D259="Ingreso",H259&gt;0),"OK",IF(AND(D259="Gasto",H259&lt;0),"OK","⚠ Revisar signo")))</f>
        <v/>
      </c>
    </row>
    <row r="260" ht="15" customHeight="1" s="59">
      <c r="A260" s="75" t="n"/>
      <c r="B260" s="74" t="n"/>
      <c r="C260" s="74" t="n"/>
      <c r="D260" s="74" t="n"/>
      <c r="E260" s="74" t="n"/>
      <c r="F260" s="74" t="n"/>
      <c r="G260" s="89" t="n"/>
      <c r="H260" s="79" t="n"/>
      <c r="I260" s="90">
        <f>IF(A260="","",TEXT(A260,"yyyy-mm"))</f>
        <v/>
      </c>
      <c r="J260" s="90">
        <f>IF(D260="","",IF(AND(D260="Ingreso",H260&gt;0),"OK",IF(AND(D260="Gasto",H260&lt;0),"OK","⚠ Revisar signo")))</f>
        <v/>
      </c>
    </row>
    <row r="261" ht="15" customHeight="1" s="59">
      <c r="A261" s="75" t="n"/>
      <c r="B261" s="74" t="n"/>
      <c r="C261" s="74" t="n"/>
      <c r="D261" s="74" t="n"/>
      <c r="E261" s="74" t="n"/>
      <c r="F261" s="74" t="n"/>
      <c r="G261" s="89" t="n"/>
      <c r="H261" s="79" t="n"/>
      <c r="I261" s="90">
        <f>IF(A261="","",TEXT(A261,"yyyy-mm"))</f>
        <v/>
      </c>
      <c r="J261" s="90">
        <f>IF(D261="","",IF(AND(D261="Ingreso",H261&gt;0),"OK",IF(AND(D261="Gasto",H261&lt;0),"OK","⚠ Revisar signo")))</f>
        <v/>
      </c>
    </row>
    <row r="262" ht="15" customHeight="1" s="59">
      <c r="A262" s="75" t="n"/>
      <c r="B262" s="74" t="n"/>
      <c r="C262" s="74" t="n"/>
      <c r="D262" s="74" t="n"/>
      <c r="E262" s="74" t="n"/>
      <c r="F262" s="74" t="n"/>
      <c r="G262" s="89" t="n"/>
      <c r="H262" s="79" t="n"/>
      <c r="I262" s="90">
        <f>IF(A262="","",TEXT(A262,"yyyy-mm"))</f>
        <v/>
      </c>
      <c r="J262" s="90">
        <f>IF(D262="","",IF(AND(D262="Ingreso",H262&gt;0),"OK",IF(AND(D262="Gasto",H262&lt;0),"OK","⚠ Revisar signo")))</f>
        <v/>
      </c>
    </row>
    <row r="263" ht="15" customHeight="1" s="59">
      <c r="A263" s="75" t="n"/>
      <c r="B263" s="74" t="n"/>
      <c r="C263" s="74" t="n"/>
      <c r="D263" s="74" t="n"/>
      <c r="E263" s="74" t="n"/>
      <c r="F263" s="74" t="n"/>
      <c r="G263" s="89" t="n"/>
      <c r="H263" s="79" t="n"/>
      <c r="I263" s="90">
        <f>IF(A263="","",TEXT(A263,"yyyy-mm"))</f>
        <v/>
      </c>
      <c r="J263" s="90">
        <f>IF(D263="","",IF(AND(D263="Ingreso",H263&gt;0),"OK",IF(AND(D263="Gasto",H263&lt;0),"OK","⚠ Revisar signo")))</f>
        <v/>
      </c>
    </row>
    <row r="264" ht="15" customHeight="1" s="59">
      <c r="A264" s="75" t="n"/>
      <c r="B264" s="74" t="n"/>
      <c r="C264" s="74" t="n"/>
      <c r="D264" s="74" t="n"/>
      <c r="E264" s="74" t="n"/>
      <c r="F264" s="74" t="n"/>
      <c r="G264" s="89" t="n"/>
      <c r="H264" s="79" t="n"/>
      <c r="I264" s="90">
        <f>IF(A264="","",TEXT(A264,"yyyy-mm"))</f>
        <v/>
      </c>
      <c r="J264" s="90">
        <f>IF(D264="","",IF(AND(D264="Ingreso",H264&gt;0),"OK",IF(AND(D264="Gasto",H264&lt;0),"OK","⚠ Revisar signo")))</f>
        <v/>
      </c>
    </row>
    <row r="265" ht="15" customHeight="1" s="59">
      <c r="A265" s="75" t="n"/>
      <c r="B265" s="74" t="n"/>
      <c r="C265" s="74" t="n"/>
      <c r="D265" s="74" t="n"/>
      <c r="E265" s="74" t="n"/>
      <c r="F265" s="74" t="n"/>
      <c r="G265" s="89" t="n"/>
      <c r="H265" s="79" t="n"/>
      <c r="I265" s="90">
        <f>IF(A265="","",TEXT(A265,"yyyy-mm"))</f>
        <v/>
      </c>
      <c r="J265" s="90">
        <f>IF(D265="","",IF(AND(D265="Ingreso",H265&gt;0),"OK",IF(AND(D265="Gasto",H265&lt;0),"OK","⚠ Revisar signo")))</f>
        <v/>
      </c>
    </row>
    <row r="266" ht="15" customHeight="1" s="59">
      <c r="A266" s="75" t="n"/>
      <c r="B266" s="74" t="n"/>
      <c r="C266" s="74" t="n"/>
      <c r="D266" s="74" t="n"/>
      <c r="E266" s="74" t="n"/>
      <c r="F266" s="74" t="n"/>
      <c r="G266" s="89" t="n"/>
      <c r="H266" s="79" t="n"/>
      <c r="I266" s="90">
        <f>IF(A266="","",TEXT(A266,"yyyy-mm"))</f>
        <v/>
      </c>
      <c r="J266" s="90">
        <f>IF(D266="","",IF(AND(D266="Ingreso",H266&gt;0),"OK",IF(AND(D266="Gasto",H266&lt;0),"OK","⚠ Revisar signo")))</f>
        <v/>
      </c>
    </row>
    <row r="267" ht="15" customHeight="1" s="59">
      <c r="A267" s="75" t="n"/>
      <c r="B267" s="74" t="n"/>
      <c r="C267" s="74" t="n"/>
      <c r="D267" s="74" t="n"/>
      <c r="E267" s="74" t="n"/>
      <c r="F267" s="74" t="n"/>
      <c r="G267" s="89" t="n"/>
      <c r="H267" s="79" t="n"/>
      <c r="I267" s="90">
        <f>IF(A267="","",TEXT(A267,"yyyy-mm"))</f>
        <v/>
      </c>
      <c r="J267" s="90">
        <f>IF(D267="","",IF(AND(D267="Ingreso",H267&gt;0),"OK",IF(AND(D267="Gasto",H267&lt;0),"OK","⚠ Revisar signo")))</f>
        <v/>
      </c>
    </row>
    <row r="268" ht="15" customHeight="1" s="59">
      <c r="A268" s="75" t="n"/>
      <c r="B268" s="74" t="n"/>
      <c r="C268" s="74" t="n"/>
      <c r="D268" s="74" t="n"/>
      <c r="E268" s="74" t="n"/>
      <c r="F268" s="74" t="n"/>
      <c r="G268" s="89" t="n"/>
      <c r="H268" s="79" t="n"/>
      <c r="I268" s="90">
        <f>IF(A268="","",TEXT(A268,"yyyy-mm"))</f>
        <v/>
      </c>
      <c r="J268" s="90">
        <f>IF(D268="","",IF(AND(D268="Ingreso",H268&gt;0),"OK",IF(AND(D268="Gasto",H268&lt;0),"OK","⚠ Revisar signo")))</f>
        <v/>
      </c>
    </row>
    <row r="269" ht="15" customHeight="1" s="59">
      <c r="A269" s="75" t="n"/>
      <c r="B269" s="74" t="n"/>
      <c r="C269" s="74" t="n"/>
      <c r="D269" s="74" t="n"/>
      <c r="E269" s="74" t="n"/>
      <c r="F269" s="74" t="n"/>
      <c r="G269" s="89" t="n"/>
      <c r="H269" s="79" t="n"/>
      <c r="I269" s="90">
        <f>IF(A269="","",TEXT(A269,"yyyy-mm"))</f>
        <v/>
      </c>
      <c r="J269" s="90">
        <f>IF(D269="","",IF(AND(D269="Ingreso",H269&gt;0),"OK",IF(AND(D269="Gasto",H269&lt;0),"OK","⚠ Revisar signo")))</f>
        <v/>
      </c>
    </row>
    <row r="270" ht="15" customHeight="1" s="59">
      <c r="A270" s="75" t="n"/>
      <c r="B270" s="74" t="n"/>
      <c r="C270" s="74" t="n"/>
      <c r="D270" s="74" t="n"/>
      <c r="E270" s="74" t="n"/>
      <c r="F270" s="74" t="n"/>
      <c r="G270" s="89" t="n"/>
      <c r="H270" s="79" t="n"/>
      <c r="I270" s="90">
        <f>IF(A270="","",TEXT(A270,"yyyy-mm"))</f>
        <v/>
      </c>
      <c r="J270" s="90">
        <f>IF(D270="","",IF(AND(D270="Ingreso",H270&gt;0),"OK",IF(AND(D270="Gasto",H270&lt;0),"OK","⚠ Revisar signo")))</f>
        <v/>
      </c>
    </row>
    <row r="271" ht="15" customHeight="1" s="59">
      <c r="A271" s="75" t="n"/>
      <c r="B271" s="74" t="n"/>
      <c r="C271" s="74" t="n"/>
      <c r="D271" s="74" t="n"/>
      <c r="E271" s="74" t="n"/>
      <c r="F271" s="74" t="n"/>
      <c r="G271" s="89" t="n"/>
      <c r="H271" s="79" t="n"/>
      <c r="I271" s="90">
        <f>IF(A271="","",TEXT(A271,"yyyy-mm"))</f>
        <v/>
      </c>
      <c r="J271" s="90">
        <f>IF(D271="","",IF(AND(D271="Ingreso",H271&gt;0),"OK",IF(AND(D271="Gasto",H271&lt;0),"OK","⚠ Revisar signo")))</f>
        <v/>
      </c>
    </row>
    <row r="272" ht="15" customHeight="1" s="59">
      <c r="A272" s="75" t="n"/>
      <c r="B272" s="74" t="n"/>
      <c r="C272" s="74" t="n"/>
      <c r="D272" s="74" t="n"/>
      <c r="E272" s="74" t="n"/>
      <c r="F272" s="74" t="n"/>
      <c r="G272" s="89" t="n"/>
      <c r="H272" s="79" t="n"/>
      <c r="I272" s="90">
        <f>IF(A272="","",TEXT(A272,"yyyy-mm"))</f>
        <v/>
      </c>
      <c r="J272" s="90">
        <f>IF(D272="","",IF(AND(D272="Ingreso",H272&gt;0),"OK",IF(AND(D272="Gasto",H272&lt;0),"OK","⚠ Revisar signo")))</f>
        <v/>
      </c>
    </row>
    <row r="273" ht="15" customHeight="1" s="59">
      <c r="A273" s="75" t="n"/>
      <c r="B273" s="74" t="n"/>
      <c r="C273" s="74" t="n"/>
      <c r="D273" s="74" t="n"/>
      <c r="E273" s="74" t="n"/>
      <c r="F273" s="74" t="n"/>
      <c r="G273" s="89" t="n"/>
      <c r="H273" s="79" t="n"/>
      <c r="I273" s="90">
        <f>IF(A273="","",TEXT(A273,"yyyy-mm"))</f>
        <v/>
      </c>
      <c r="J273" s="90">
        <f>IF(D273="","",IF(AND(D273="Ingreso",H273&gt;0),"OK",IF(AND(D273="Gasto",H273&lt;0),"OK","⚠ Revisar signo")))</f>
        <v/>
      </c>
    </row>
    <row r="274" ht="15" customHeight="1" s="59">
      <c r="A274" s="75" t="n"/>
      <c r="B274" s="74" t="n"/>
      <c r="C274" s="74" t="n"/>
      <c r="D274" s="74" t="n"/>
      <c r="E274" s="74" t="n"/>
      <c r="F274" s="74" t="n"/>
      <c r="G274" s="89" t="n"/>
      <c r="H274" s="79" t="n"/>
      <c r="I274" s="90">
        <f>IF(A274="","",TEXT(A274,"yyyy-mm"))</f>
        <v/>
      </c>
      <c r="J274" s="90">
        <f>IF(D274="","",IF(AND(D274="Ingreso",H274&gt;0),"OK",IF(AND(D274="Gasto",H274&lt;0),"OK","⚠ Revisar signo")))</f>
        <v/>
      </c>
    </row>
    <row r="275" ht="15" customHeight="1" s="59">
      <c r="A275" s="75" t="n"/>
      <c r="B275" s="74" t="n"/>
      <c r="C275" s="74" t="n"/>
      <c r="D275" s="74" t="n"/>
      <c r="E275" s="74" t="n"/>
      <c r="F275" s="74" t="n"/>
      <c r="G275" s="89" t="n"/>
      <c r="H275" s="79" t="n"/>
      <c r="I275" s="90">
        <f>IF(A275="","",TEXT(A275,"yyyy-mm"))</f>
        <v/>
      </c>
      <c r="J275" s="90">
        <f>IF(D275="","",IF(AND(D275="Ingreso",H275&gt;0),"OK",IF(AND(D275="Gasto",H275&lt;0),"OK","⚠ Revisar signo")))</f>
        <v/>
      </c>
    </row>
    <row r="276" ht="15" customHeight="1" s="59">
      <c r="A276" s="75" t="n"/>
      <c r="B276" s="74" t="n"/>
      <c r="C276" s="74" t="n"/>
      <c r="D276" s="74" t="n"/>
      <c r="E276" s="74" t="n"/>
      <c r="F276" s="74" t="n"/>
      <c r="G276" s="89" t="n"/>
      <c r="H276" s="79" t="n"/>
      <c r="I276" s="90">
        <f>IF(A276="","",TEXT(A276,"yyyy-mm"))</f>
        <v/>
      </c>
      <c r="J276" s="90">
        <f>IF(D276="","",IF(AND(D276="Ingreso",H276&gt;0),"OK",IF(AND(D276="Gasto",H276&lt;0),"OK","⚠ Revisar signo")))</f>
        <v/>
      </c>
    </row>
    <row r="277" ht="15" customHeight="1" s="59">
      <c r="A277" s="75" t="n"/>
      <c r="B277" s="74" t="n"/>
      <c r="C277" s="74" t="n"/>
      <c r="D277" s="74" t="n"/>
      <c r="E277" s="74" t="n"/>
      <c r="F277" s="74" t="n"/>
      <c r="G277" s="89" t="n"/>
      <c r="H277" s="79" t="n"/>
      <c r="I277" s="90">
        <f>IF(A277="","",TEXT(A277,"yyyy-mm"))</f>
        <v/>
      </c>
      <c r="J277" s="90">
        <f>IF(D277="","",IF(AND(D277="Ingreso",H277&gt;0),"OK",IF(AND(D277="Gasto",H277&lt;0),"OK","⚠ Revisar signo")))</f>
        <v/>
      </c>
    </row>
    <row r="278" ht="15" customHeight="1" s="59">
      <c r="A278" s="75" t="n"/>
      <c r="B278" s="74" t="n"/>
      <c r="C278" s="74" t="n"/>
      <c r="D278" s="74" t="n"/>
      <c r="E278" s="74" t="n"/>
      <c r="F278" s="74" t="n"/>
      <c r="G278" s="89" t="n"/>
      <c r="H278" s="79" t="n"/>
      <c r="I278" s="90">
        <f>IF(A278="","",TEXT(A278,"yyyy-mm"))</f>
        <v/>
      </c>
      <c r="J278" s="90">
        <f>IF(D278="","",IF(AND(D278="Ingreso",H278&gt;0),"OK",IF(AND(D278="Gasto",H278&lt;0),"OK","⚠ Revisar signo")))</f>
        <v/>
      </c>
    </row>
    <row r="279" ht="15" customHeight="1" s="59">
      <c r="A279" s="75" t="n"/>
      <c r="B279" s="74" t="n"/>
      <c r="C279" s="74" t="n"/>
      <c r="D279" s="74" t="n"/>
      <c r="E279" s="74" t="n"/>
      <c r="F279" s="74" t="n"/>
      <c r="G279" s="89" t="n"/>
      <c r="H279" s="79" t="n"/>
      <c r="I279" s="90">
        <f>IF(A279="","",TEXT(A279,"yyyy-mm"))</f>
        <v/>
      </c>
      <c r="J279" s="90">
        <f>IF(D279="","",IF(AND(D279="Ingreso",H279&gt;0),"OK",IF(AND(D279="Gasto",H279&lt;0),"OK","⚠ Revisar signo")))</f>
        <v/>
      </c>
    </row>
    <row r="280" ht="15" customHeight="1" s="59">
      <c r="A280" s="75" t="n"/>
      <c r="B280" s="74" t="n"/>
      <c r="C280" s="74" t="n"/>
      <c r="D280" s="74" t="n"/>
      <c r="E280" s="74" t="n"/>
      <c r="F280" s="74" t="n"/>
      <c r="G280" s="89" t="n"/>
      <c r="H280" s="79" t="n"/>
      <c r="I280" s="90">
        <f>IF(A280="","",TEXT(A280,"yyyy-mm"))</f>
        <v/>
      </c>
      <c r="J280" s="90">
        <f>IF(D280="","",IF(AND(D280="Ingreso",H280&gt;0),"OK",IF(AND(D280="Gasto",H280&lt;0),"OK","⚠ Revisar signo")))</f>
        <v/>
      </c>
    </row>
    <row r="281" ht="15" customHeight="1" s="59">
      <c r="A281" s="75" t="n"/>
      <c r="B281" s="74" t="n"/>
      <c r="C281" s="74" t="n"/>
      <c r="D281" s="74" t="n"/>
      <c r="E281" s="74" t="n"/>
      <c r="F281" s="74" t="n"/>
      <c r="G281" s="89" t="n"/>
      <c r="H281" s="79" t="n"/>
      <c r="I281" s="90">
        <f>IF(A281="","",TEXT(A281,"yyyy-mm"))</f>
        <v/>
      </c>
      <c r="J281" s="90">
        <f>IF(D281="","",IF(AND(D281="Ingreso",H281&gt;0),"OK",IF(AND(D281="Gasto",H281&lt;0),"OK","⚠ Revisar signo")))</f>
        <v/>
      </c>
    </row>
    <row r="282" ht="15" customHeight="1" s="59">
      <c r="A282" s="75" t="n"/>
      <c r="B282" s="74" t="n"/>
      <c r="C282" s="74" t="n"/>
      <c r="D282" s="74" t="n"/>
      <c r="E282" s="74" t="n"/>
      <c r="F282" s="74" t="n"/>
      <c r="G282" s="89" t="n"/>
      <c r="H282" s="79" t="n"/>
      <c r="I282" s="90">
        <f>IF(A282="","",TEXT(A282,"yyyy-mm"))</f>
        <v/>
      </c>
      <c r="J282" s="90">
        <f>IF(D282="","",IF(AND(D282="Ingreso",H282&gt;0),"OK",IF(AND(D282="Gasto",H282&lt;0),"OK","⚠ Revisar signo")))</f>
        <v/>
      </c>
    </row>
    <row r="283" ht="15" customHeight="1" s="59">
      <c r="A283" s="75" t="n"/>
      <c r="B283" s="74" t="n"/>
      <c r="C283" s="74" t="n"/>
      <c r="D283" s="74" t="n"/>
      <c r="E283" s="74" t="n"/>
      <c r="F283" s="74" t="n"/>
      <c r="G283" s="89" t="n"/>
      <c r="H283" s="79" t="n"/>
      <c r="I283" s="90">
        <f>IF(A283="","",TEXT(A283,"yyyy-mm"))</f>
        <v/>
      </c>
      <c r="J283" s="90">
        <f>IF(D283="","",IF(AND(D283="Ingreso",H283&gt;0),"OK",IF(AND(D283="Gasto",H283&lt;0),"OK","⚠ Revisar signo")))</f>
        <v/>
      </c>
    </row>
    <row r="284" ht="15" customHeight="1" s="59">
      <c r="A284" s="75" t="n"/>
      <c r="B284" s="74" t="n"/>
      <c r="C284" s="74" t="n"/>
      <c r="D284" s="74" t="n"/>
      <c r="E284" s="74" t="n"/>
      <c r="F284" s="74" t="n"/>
      <c r="G284" s="89" t="n"/>
      <c r="H284" s="79" t="n"/>
      <c r="I284" s="90">
        <f>IF(A284="","",TEXT(A284,"yyyy-mm"))</f>
        <v/>
      </c>
      <c r="J284" s="90">
        <f>IF(D284="","",IF(AND(D284="Ingreso",H284&gt;0),"OK",IF(AND(D284="Gasto",H284&lt;0),"OK","⚠ Revisar signo")))</f>
        <v/>
      </c>
    </row>
    <row r="285" ht="15" customHeight="1" s="59">
      <c r="A285" s="75" t="n"/>
      <c r="B285" s="74" t="n"/>
      <c r="C285" s="74" t="n"/>
      <c r="D285" s="74" t="n"/>
      <c r="E285" s="74" t="n"/>
      <c r="F285" s="74" t="n"/>
      <c r="G285" s="89" t="n"/>
      <c r="H285" s="79" t="n"/>
      <c r="I285" s="90">
        <f>IF(A285="","",TEXT(A285,"yyyy-mm"))</f>
        <v/>
      </c>
      <c r="J285" s="90">
        <f>IF(D285="","",IF(AND(D285="Ingreso",H285&gt;0),"OK",IF(AND(D285="Gasto",H285&lt;0),"OK","⚠ Revisar signo")))</f>
        <v/>
      </c>
    </row>
    <row r="286" ht="15" customHeight="1" s="59">
      <c r="A286" s="75" t="n"/>
      <c r="B286" s="74" t="n"/>
      <c r="C286" s="74" t="n"/>
      <c r="D286" s="74" t="n"/>
      <c r="E286" s="74" t="n"/>
      <c r="F286" s="74" t="n"/>
      <c r="G286" s="89" t="n"/>
      <c r="H286" s="79" t="n"/>
      <c r="I286" s="90">
        <f>IF(A286="","",TEXT(A286,"yyyy-mm"))</f>
        <v/>
      </c>
      <c r="J286" s="90">
        <f>IF(D286="","",IF(AND(D286="Ingreso",H286&gt;0),"OK",IF(AND(D286="Gasto",H286&lt;0),"OK","⚠ Revisar signo")))</f>
        <v/>
      </c>
    </row>
    <row r="287" ht="15" customHeight="1" s="59">
      <c r="A287" s="75" t="n"/>
      <c r="B287" s="74" t="n"/>
      <c r="C287" s="74" t="n"/>
      <c r="D287" s="74" t="n"/>
      <c r="E287" s="74" t="n"/>
      <c r="F287" s="74" t="n"/>
      <c r="G287" s="89" t="n"/>
      <c r="H287" s="79" t="n"/>
      <c r="I287" s="90">
        <f>IF(A287="","",TEXT(A287,"yyyy-mm"))</f>
        <v/>
      </c>
      <c r="J287" s="90">
        <f>IF(D287="","",IF(AND(D287="Ingreso",H287&gt;0),"OK",IF(AND(D287="Gasto",H287&lt;0),"OK","⚠ Revisar signo")))</f>
        <v/>
      </c>
    </row>
    <row r="288" ht="15" customHeight="1" s="59">
      <c r="A288" s="75" t="n"/>
      <c r="B288" s="74" t="n"/>
      <c r="C288" s="74" t="n"/>
      <c r="D288" s="74" t="n"/>
      <c r="E288" s="74" t="n"/>
      <c r="F288" s="74" t="n"/>
      <c r="G288" s="89" t="n"/>
      <c r="H288" s="79" t="n"/>
      <c r="I288" s="90">
        <f>IF(A288="","",TEXT(A288,"yyyy-mm"))</f>
        <v/>
      </c>
      <c r="J288" s="90">
        <f>IF(D288="","",IF(AND(D288="Ingreso",H288&gt;0),"OK",IF(AND(D288="Gasto",H288&lt;0),"OK","⚠ Revisar signo")))</f>
        <v/>
      </c>
    </row>
    <row r="289" ht="15" customHeight="1" s="59">
      <c r="A289" s="75" t="n"/>
      <c r="B289" s="74" t="n"/>
      <c r="C289" s="74" t="n"/>
      <c r="D289" s="74" t="n"/>
      <c r="E289" s="74" t="n"/>
      <c r="F289" s="74" t="n"/>
      <c r="G289" s="89" t="n"/>
      <c r="H289" s="79" t="n"/>
      <c r="I289" s="90">
        <f>IF(A289="","",TEXT(A289,"yyyy-mm"))</f>
        <v/>
      </c>
      <c r="J289" s="90">
        <f>IF(D289="","",IF(AND(D289="Ingreso",H289&gt;0),"OK",IF(AND(D289="Gasto",H289&lt;0),"OK","⚠ Revisar signo")))</f>
        <v/>
      </c>
    </row>
    <row r="290" ht="15" customHeight="1" s="59">
      <c r="A290" s="75" t="n"/>
      <c r="B290" s="74" t="n"/>
      <c r="C290" s="74" t="n"/>
      <c r="D290" s="74" t="n"/>
      <c r="E290" s="74" t="n"/>
      <c r="F290" s="74" t="n"/>
      <c r="G290" s="89" t="n"/>
      <c r="H290" s="79" t="n"/>
      <c r="I290" s="90">
        <f>IF(A290="","",TEXT(A290,"yyyy-mm"))</f>
        <v/>
      </c>
      <c r="J290" s="90">
        <f>IF(D290="","",IF(AND(D290="Ingreso",H290&gt;0),"OK",IF(AND(D290="Gasto",H290&lt;0),"OK","⚠ Revisar signo")))</f>
        <v/>
      </c>
    </row>
    <row r="291" ht="15" customHeight="1" s="59">
      <c r="A291" s="75" t="n"/>
      <c r="B291" s="74" t="n"/>
      <c r="C291" s="74" t="n"/>
      <c r="D291" s="74" t="n"/>
      <c r="E291" s="74" t="n"/>
      <c r="F291" s="74" t="n"/>
      <c r="G291" s="89" t="n"/>
      <c r="H291" s="79" t="n"/>
      <c r="I291" s="90">
        <f>IF(A291="","",TEXT(A291,"yyyy-mm"))</f>
        <v/>
      </c>
      <c r="J291" s="90">
        <f>IF(D291="","",IF(AND(D291="Ingreso",H291&gt;0),"OK",IF(AND(D291="Gasto",H291&lt;0),"OK","⚠ Revisar signo")))</f>
        <v/>
      </c>
    </row>
    <row r="292" ht="15" customHeight="1" s="59">
      <c r="A292" s="75" t="n"/>
      <c r="B292" s="74" t="n"/>
      <c r="C292" s="74" t="n"/>
      <c r="D292" s="74" t="n"/>
      <c r="E292" s="74" t="n"/>
      <c r="F292" s="74" t="n"/>
      <c r="G292" s="89" t="n"/>
      <c r="H292" s="79" t="n"/>
      <c r="I292" s="90">
        <f>IF(A292="","",TEXT(A292,"yyyy-mm"))</f>
        <v/>
      </c>
      <c r="J292" s="90">
        <f>IF(D292="","",IF(AND(D292="Ingreso",H292&gt;0),"OK",IF(AND(D292="Gasto",H292&lt;0),"OK","⚠ Revisar signo")))</f>
        <v/>
      </c>
    </row>
    <row r="293" ht="15" customHeight="1" s="59">
      <c r="A293" s="75" t="n"/>
      <c r="B293" s="74" t="n"/>
      <c r="C293" s="74" t="n"/>
      <c r="D293" s="74" t="n"/>
      <c r="E293" s="74" t="n"/>
      <c r="F293" s="74" t="n"/>
      <c r="G293" s="89" t="n"/>
      <c r="H293" s="79" t="n"/>
      <c r="I293" s="90">
        <f>IF(A293="","",TEXT(A293,"yyyy-mm"))</f>
        <v/>
      </c>
      <c r="J293" s="90">
        <f>IF(D293="","",IF(AND(D293="Ingreso",H293&gt;0),"OK",IF(AND(D293="Gasto",H293&lt;0),"OK","⚠ Revisar signo")))</f>
        <v/>
      </c>
    </row>
    <row r="294" ht="15" customHeight="1" s="59">
      <c r="A294" s="75" t="n"/>
      <c r="B294" s="74" t="n"/>
      <c r="C294" s="74" t="n"/>
      <c r="D294" s="74" t="n"/>
      <c r="E294" s="74" t="n"/>
      <c r="F294" s="74" t="n"/>
      <c r="G294" s="89" t="n"/>
      <c r="H294" s="79" t="n"/>
      <c r="I294" s="90">
        <f>IF(A294="","",TEXT(A294,"yyyy-mm"))</f>
        <v/>
      </c>
      <c r="J294" s="90">
        <f>IF(D294="","",IF(AND(D294="Ingreso",H294&gt;0),"OK",IF(AND(D294="Gasto",H294&lt;0),"OK","⚠ Revisar signo")))</f>
        <v/>
      </c>
    </row>
    <row r="295" ht="15" customHeight="1" s="59">
      <c r="A295" s="75" t="n"/>
      <c r="B295" s="74" t="n"/>
      <c r="C295" s="74" t="n"/>
      <c r="D295" s="74" t="n"/>
      <c r="E295" s="74" t="n"/>
      <c r="F295" s="74" t="n"/>
      <c r="G295" s="89" t="n"/>
      <c r="H295" s="79" t="n"/>
      <c r="I295" s="90">
        <f>IF(A295="","",TEXT(A295,"yyyy-mm"))</f>
        <v/>
      </c>
      <c r="J295" s="90">
        <f>IF(D295="","",IF(AND(D295="Ingreso",H295&gt;0),"OK",IF(AND(D295="Gasto",H295&lt;0),"OK","⚠ Revisar signo")))</f>
        <v/>
      </c>
    </row>
    <row r="296" ht="15" customHeight="1" s="59">
      <c r="A296" s="75" t="n"/>
      <c r="B296" s="74" t="n"/>
      <c r="C296" s="74" t="n"/>
      <c r="D296" s="74" t="n"/>
      <c r="E296" s="74" t="n"/>
      <c r="F296" s="74" t="n"/>
      <c r="G296" s="89" t="n"/>
      <c r="H296" s="79" t="n"/>
      <c r="I296" s="90">
        <f>IF(A296="","",TEXT(A296,"yyyy-mm"))</f>
        <v/>
      </c>
      <c r="J296" s="90">
        <f>IF(D296="","",IF(AND(D296="Ingreso",H296&gt;0),"OK",IF(AND(D296="Gasto",H296&lt;0),"OK","⚠ Revisar signo")))</f>
        <v/>
      </c>
    </row>
    <row r="297" ht="15" customHeight="1" s="59">
      <c r="A297" s="75" t="n"/>
      <c r="B297" s="74" t="n"/>
      <c r="C297" s="74" t="n"/>
      <c r="D297" s="74" t="n"/>
      <c r="E297" s="74" t="n"/>
      <c r="F297" s="74" t="n"/>
      <c r="G297" s="89" t="n"/>
      <c r="H297" s="79" t="n"/>
      <c r="I297" s="90">
        <f>IF(A297="","",TEXT(A297,"yyyy-mm"))</f>
        <v/>
      </c>
      <c r="J297" s="90">
        <f>IF(D297="","",IF(AND(D297="Ingreso",H297&gt;0),"OK",IF(AND(D297="Gasto",H297&lt;0),"OK","⚠ Revisar signo")))</f>
        <v/>
      </c>
    </row>
    <row r="298" ht="15" customHeight="1" s="59">
      <c r="A298" s="75" t="n"/>
      <c r="B298" s="74" t="n"/>
      <c r="C298" s="74" t="n"/>
      <c r="D298" s="74" t="n"/>
      <c r="E298" s="74" t="n"/>
      <c r="F298" s="74" t="n"/>
      <c r="G298" s="89" t="n"/>
      <c r="H298" s="79" t="n"/>
      <c r="I298" s="90">
        <f>IF(A298="","",TEXT(A298,"yyyy-mm"))</f>
        <v/>
      </c>
      <c r="J298" s="90">
        <f>IF(D298="","",IF(AND(D298="Ingreso",H298&gt;0),"OK",IF(AND(D298="Gasto",H298&lt;0),"OK","⚠ Revisar signo")))</f>
        <v/>
      </c>
    </row>
    <row r="299" ht="15" customHeight="1" s="59">
      <c r="A299" s="75" t="n"/>
      <c r="B299" s="74" t="n"/>
      <c r="C299" s="74" t="n"/>
      <c r="D299" s="74" t="n"/>
      <c r="E299" s="74" t="n"/>
      <c r="F299" s="74" t="n"/>
      <c r="G299" s="89" t="n"/>
      <c r="H299" s="79" t="n"/>
      <c r="I299" s="90">
        <f>IF(A299="","",TEXT(A299,"yyyy-mm"))</f>
        <v/>
      </c>
      <c r="J299" s="90">
        <f>IF(D299="","",IF(AND(D299="Ingreso",H299&gt;0),"OK",IF(AND(D299="Gasto",H299&lt;0),"OK","⚠ Revisar signo")))</f>
        <v/>
      </c>
    </row>
    <row r="300" ht="15" customHeight="1" s="59">
      <c r="A300" s="75" t="n"/>
      <c r="B300" s="74" t="n"/>
      <c r="C300" s="74" t="n"/>
      <c r="D300" s="74" t="n"/>
      <c r="E300" s="74" t="n"/>
      <c r="F300" s="74" t="n"/>
      <c r="G300" s="89" t="n"/>
      <c r="H300" s="79" t="n"/>
      <c r="I300" s="90">
        <f>IF(A300="","",TEXT(A300,"yyyy-mm"))</f>
        <v/>
      </c>
      <c r="J300" s="90">
        <f>IF(D300="","",IF(AND(D300="Ingreso",H300&gt;0),"OK",IF(AND(D300="Gasto",H300&lt;0),"OK","⚠ Revisar signo")))</f>
        <v/>
      </c>
    </row>
    <row r="301" ht="15" customHeight="1" s="59">
      <c r="A301" s="75" t="n"/>
      <c r="B301" s="74" t="n"/>
      <c r="C301" s="74" t="n"/>
      <c r="D301" s="74" t="n"/>
      <c r="E301" s="74" t="n"/>
      <c r="F301" s="74" t="n"/>
      <c r="G301" s="89" t="n"/>
      <c r="H301" s="79" t="n"/>
      <c r="I301" s="90">
        <f>IF(A301="","",TEXT(A301,"yyyy-mm"))</f>
        <v/>
      </c>
      <c r="J301" s="90">
        <f>IF(D301="","",IF(AND(D301="Ingreso",H301&gt;0),"OK",IF(AND(D301="Gasto",H301&lt;0),"OK","⚠ Revisar signo")))</f>
        <v/>
      </c>
    </row>
    <row r="302" ht="15" customHeight="1" s="59">
      <c r="A302" s="75" t="n"/>
      <c r="B302" s="74" t="n"/>
      <c r="C302" s="74" t="n"/>
      <c r="D302" s="74" t="n"/>
      <c r="E302" s="74" t="n"/>
      <c r="F302" s="74" t="n"/>
      <c r="G302" s="89" t="n"/>
      <c r="H302" s="79" t="n"/>
      <c r="I302" s="90">
        <f>IF(A302="","",TEXT(A302,"yyyy-mm"))</f>
        <v/>
      </c>
      <c r="J302" s="90">
        <f>IF(D302="","",IF(AND(D302="Ingreso",H302&gt;0),"OK",IF(AND(D302="Gasto",H302&lt;0),"OK","⚠ Revisar signo")))</f>
        <v/>
      </c>
    </row>
    <row r="303" ht="15" customHeight="1" s="59">
      <c r="A303" s="75" t="n"/>
      <c r="B303" s="74" t="n"/>
      <c r="C303" s="74" t="n"/>
      <c r="D303" s="74" t="n"/>
      <c r="E303" s="74" t="n"/>
      <c r="F303" s="74" t="n"/>
      <c r="G303" s="89" t="n"/>
      <c r="H303" s="79" t="n"/>
      <c r="I303" s="90">
        <f>IF(A303="","",TEXT(A303,"yyyy-mm"))</f>
        <v/>
      </c>
      <c r="J303" s="90">
        <f>IF(D303="","",IF(AND(D303="Ingreso",H303&gt;0),"OK",IF(AND(D303="Gasto",H303&lt;0),"OK","⚠ Revisar signo")))</f>
        <v/>
      </c>
    </row>
    <row r="304" ht="15" customHeight="1" s="59">
      <c r="A304" s="75" t="n"/>
      <c r="B304" s="74" t="n"/>
      <c r="C304" s="74" t="n"/>
      <c r="D304" s="74" t="n"/>
      <c r="E304" s="74" t="n"/>
      <c r="F304" s="74" t="n"/>
      <c r="G304" s="89" t="n"/>
      <c r="H304" s="79" t="n"/>
      <c r="I304" s="90">
        <f>IF(A304="","",TEXT(A304,"yyyy-mm"))</f>
        <v/>
      </c>
      <c r="J304" s="90">
        <f>IF(D304="","",IF(AND(D304="Ingreso",H304&gt;0),"OK",IF(AND(D304="Gasto",H304&lt;0),"OK","⚠ Revisar signo")))</f>
        <v/>
      </c>
    </row>
    <row r="305" ht="15" customHeight="1" s="59">
      <c r="A305" s="75" t="n"/>
      <c r="B305" s="74" t="n"/>
      <c r="C305" s="74" t="n"/>
      <c r="D305" s="74" t="n"/>
      <c r="E305" s="74" t="n"/>
      <c r="F305" s="74" t="n"/>
      <c r="G305" s="89" t="n"/>
      <c r="H305" s="79" t="n"/>
      <c r="I305" s="90">
        <f>IF(A305="","",TEXT(A305,"yyyy-mm"))</f>
        <v/>
      </c>
      <c r="J305" s="90">
        <f>IF(D305="","",IF(AND(D305="Ingreso",H305&gt;0),"OK",IF(AND(D305="Gasto",H305&lt;0),"OK","⚠ Revisar signo")))</f>
        <v/>
      </c>
    </row>
    <row r="306" ht="15" customHeight="1" s="59">
      <c r="A306" s="75" t="n"/>
      <c r="B306" s="74" t="n"/>
      <c r="C306" s="74" t="n"/>
      <c r="D306" s="74" t="n"/>
      <c r="E306" s="74" t="n"/>
      <c r="F306" s="74" t="n"/>
      <c r="G306" s="89" t="n"/>
      <c r="H306" s="79" t="n"/>
      <c r="I306" s="90">
        <f>IF(A306="","",TEXT(A306,"yyyy-mm"))</f>
        <v/>
      </c>
      <c r="J306" s="90">
        <f>IF(D306="","",IF(AND(D306="Ingreso",H306&gt;0),"OK",IF(AND(D306="Gasto",H306&lt;0),"OK","⚠ Revisar signo")))</f>
        <v/>
      </c>
    </row>
    <row r="307" ht="15" customHeight="1" s="59">
      <c r="A307" s="75" t="n"/>
      <c r="B307" s="74" t="n"/>
      <c r="C307" s="74" t="n"/>
      <c r="D307" s="74" t="n"/>
      <c r="E307" s="74" t="n"/>
      <c r="F307" s="74" t="n"/>
      <c r="G307" s="89" t="n"/>
      <c r="H307" s="79" t="n"/>
      <c r="I307" s="90">
        <f>IF(A307="","",TEXT(A307,"yyyy-mm"))</f>
        <v/>
      </c>
      <c r="J307" s="90">
        <f>IF(D307="","",IF(AND(D307="Ingreso",H307&gt;0),"OK",IF(AND(D307="Gasto",H307&lt;0),"OK","⚠ Revisar signo")))</f>
        <v/>
      </c>
    </row>
    <row r="308" ht="15" customHeight="1" s="59">
      <c r="A308" s="75" t="n"/>
      <c r="B308" s="74" t="n"/>
      <c r="C308" s="74" t="n"/>
      <c r="D308" s="74" t="n"/>
      <c r="E308" s="74" t="n"/>
      <c r="F308" s="74" t="n"/>
      <c r="G308" s="89" t="n"/>
      <c r="H308" s="79" t="n"/>
      <c r="I308" s="90">
        <f>IF(A308="","",TEXT(A308,"yyyy-mm"))</f>
        <v/>
      </c>
      <c r="J308" s="90">
        <f>IF(D308="","",IF(AND(D308="Ingreso",H308&gt;0),"OK",IF(AND(D308="Gasto",H308&lt;0),"OK","⚠ Revisar signo")))</f>
        <v/>
      </c>
    </row>
    <row r="309" ht="15" customHeight="1" s="59">
      <c r="A309" s="75" t="n"/>
      <c r="B309" s="74" t="n"/>
      <c r="C309" s="74" t="n"/>
      <c r="D309" s="74" t="n"/>
      <c r="E309" s="74" t="n"/>
      <c r="F309" s="74" t="n"/>
      <c r="G309" s="89" t="n"/>
      <c r="H309" s="79" t="n"/>
      <c r="I309" s="90">
        <f>IF(A309="","",TEXT(A309,"yyyy-mm"))</f>
        <v/>
      </c>
      <c r="J309" s="90">
        <f>IF(D309="","",IF(AND(D309="Ingreso",H309&gt;0),"OK",IF(AND(D309="Gasto",H309&lt;0),"OK","⚠ Revisar signo")))</f>
        <v/>
      </c>
    </row>
    <row r="310" ht="15" customHeight="1" s="59">
      <c r="A310" s="75" t="n"/>
      <c r="B310" s="74" t="n"/>
      <c r="C310" s="74" t="n"/>
      <c r="D310" s="74" t="n"/>
      <c r="E310" s="74" t="n"/>
      <c r="F310" s="74" t="n"/>
      <c r="G310" s="89" t="n"/>
      <c r="H310" s="79" t="n"/>
      <c r="I310" s="90">
        <f>IF(A310="","",TEXT(A310,"yyyy-mm"))</f>
        <v/>
      </c>
      <c r="J310" s="90">
        <f>IF(D310="","",IF(AND(D310="Ingreso",H310&gt;0),"OK",IF(AND(D310="Gasto",H310&lt;0),"OK","⚠ Revisar signo")))</f>
        <v/>
      </c>
    </row>
    <row r="311" ht="15" customHeight="1" s="59">
      <c r="A311" s="75" t="n"/>
      <c r="B311" s="74" t="n"/>
      <c r="C311" s="74" t="n"/>
      <c r="D311" s="74" t="n"/>
      <c r="E311" s="74" t="n"/>
      <c r="F311" s="74" t="n"/>
      <c r="G311" s="89" t="n"/>
      <c r="H311" s="79" t="n"/>
      <c r="I311" s="90">
        <f>IF(A311="","",TEXT(A311,"yyyy-mm"))</f>
        <v/>
      </c>
      <c r="J311" s="90">
        <f>IF(D311="","",IF(AND(D311="Ingreso",H311&gt;0),"OK",IF(AND(D311="Gasto",H311&lt;0),"OK","⚠ Revisar signo")))</f>
        <v/>
      </c>
    </row>
    <row r="312" ht="15" customHeight="1" s="59">
      <c r="A312" s="75" t="n"/>
      <c r="B312" s="74" t="n"/>
      <c r="C312" s="74" t="n"/>
      <c r="D312" s="74" t="n"/>
      <c r="E312" s="74" t="n"/>
      <c r="F312" s="74" t="n"/>
      <c r="G312" s="89" t="n"/>
      <c r="H312" s="79" t="n"/>
      <c r="I312" s="90">
        <f>IF(A312="","",TEXT(A312,"yyyy-mm"))</f>
        <v/>
      </c>
      <c r="J312" s="90">
        <f>IF(D312="","",IF(AND(D312="Ingreso",H312&gt;0),"OK",IF(AND(D312="Gasto",H312&lt;0),"OK","⚠ Revisar signo")))</f>
        <v/>
      </c>
    </row>
    <row r="313" ht="15" customHeight="1" s="59">
      <c r="A313" s="75" t="n"/>
      <c r="B313" s="74" t="n"/>
      <c r="C313" s="74" t="n"/>
      <c r="D313" s="74" t="n"/>
      <c r="E313" s="74" t="n"/>
      <c r="F313" s="74" t="n"/>
      <c r="G313" s="89" t="n"/>
      <c r="H313" s="79" t="n"/>
      <c r="I313" s="90">
        <f>IF(A313="","",TEXT(A313,"yyyy-mm"))</f>
        <v/>
      </c>
      <c r="J313" s="90">
        <f>IF(D313="","",IF(AND(D313="Ingreso",H313&gt;0),"OK",IF(AND(D313="Gasto",H313&lt;0),"OK","⚠ Revisar signo")))</f>
        <v/>
      </c>
    </row>
    <row r="314" ht="15" customHeight="1" s="59">
      <c r="A314" s="75" t="n"/>
      <c r="B314" s="74" t="n"/>
      <c r="C314" s="74" t="n"/>
      <c r="D314" s="74" t="n"/>
      <c r="E314" s="74" t="n"/>
      <c r="F314" s="74" t="n"/>
      <c r="G314" s="89" t="n"/>
      <c r="H314" s="79" t="n"/>
      <c r="I314" s="90">
        <f>IF(A314="","",TEXT(A314,"yyyy-mm"))</f>
        <v/>
      </c>
      <c r="J314" s="90">
        <f>IF(D314="","",IF(AND(D314="Ingreso",H314&gt;0),"OK",IF(AND(D314="Gasto",H314&lt;0),"OK","⚠ Revisar signo")))</f>
        <v/>
      </c>
    </row>
    <row r="315" ht="15" customHeight="1" s="59">
      <c r="A315" s="75" t="n"/>
      <c r="B315" s="74" t="n"/>
      <c r="C315" s="74" t="n"/>
      <c r="D315" s="74" t="n"/>
      <c r="E315" s="74" t="n"/>
      <c r="F315" s="74" t="n"/>
      <c r="G315" s="89" t="n"/>
      <c r="H315" s="79" t="n"/>
      <c r="I315" s="90">
        <f>IF(A315="","",TEXT(A315,"yyyy-mm"))</f>
        <v/>
      </c>
      <c r="J315" s="90">
        <f>IF(D315="","",IF(AND(D315="Ingreso",H315&gt;0),"OK",IF(AND(D315="Gasto",H315&lt;0),"OK","⚠ Revisar signo")))</f>
        <v/>
      </c>
    </row>
    <row r="316" ht="15" customHeight="1" s="59">
      <c r="A316" s="75" t="n"/>
      <c r="B316" s="74" t="n"/>
      <c r="C316" s="74" t="n"/>
      <c r="D316" s="74" t="n"/>
      <c r="E316" s="74" t="n"/>
      <c r="F316" s="74" t="n"/>
      <c r="G316" s="89" t="n"/>
      <c r="H316" s="79" t="n"/>
      <c r="I316" s="90">
        <f>IF(A316="","",TEXT(A316,"yyyy-mm"))</f>
        <v/>
      </c>
      <c r="J316" s="90">
        <f>IF(D316="","",IF(AND(D316="Ingreso",H316&gt;0),"OK",IF(AND(D316="Gasto",H316&lt;0),"OK","⚠ Revisar signo")))</f>
        <v/>
      </c>
    </row>
    <row r="317" ht="15" customHeight="1" s="59">
      <c r="A317" s="75" t="n"/>
      <c r="B317" s="74" t="n"/>
      <c r="C317" s="74" t="n"/>
      <c r="D317" s="74" t="n"/>
      <c r="E317" s="74" t="n"/>
      <c r="F317" s="74" t="n"/>
      <c r="G317" s="89" t="n"/>
      <c r="H317" s="79" t="n"/>
      <c r="I317" s="90">
        <f>IF(A317="","",TEXT(A317,"yyyy-mm"))</f>
        <v/>
      </c>
      <c r="J317" s="90">
        <f>IF(D317="","",IF(AND(D317="Ingreso",H317&gt;0),"OK",IF(AND(D317="Gasto",H317&lt;0),"OK","⚠ Revisar signo")))</f>
        <v/>
      </c>
    </row>
    <row r="318" ht="15" customHeight="1" s="59">
      <c r="A318" s="75" t="n"/>
      <c r="B318" s="74" t="n"/>
      <c r="C318" s="74" t="n"/>
      <c r="D318" s="74" t="n"/>
      <c r="E318" s="74" t="n"/>
      <c r="F318" s="74" t="n"/>
      <c r="G318" s="89" t="n"/>
      <c r="H318" s="79" t="n"/>
      <c r="I318" s="90">
        <f>IF(A318="","",TEXT(A318,"yyyy-mm"))</f>
        <v/>
      </c>
      <c r="J318" s="90">
        <f>IF(D318="","",IF(AND(D318="Ingreso",H318&gt;0),"OK",IF(AND(D318="Gasto",H318&lt;0),"OK","⚠ Revisar signo")))</f>
        <v/>
      </c>
    </row>
    <row r="319" ht="15" customHeight="1" s="59">
      <c r="A319" s="75" t="n"/>
      <c r="B319" s="74" t="n"/>
      <c r="C319" s="74" t="n"/>
      <c r="D319" s="74" t="n"/>
      <c r="E319" s="74" t="n"/>
      <c r="F319" s="74" t="n"/>
      <c r="G319" s="89" t="n"/>
      <c r="H319" s="79" t="n"/>
      <c r="I319" s="90">
        <f>IF(A319="","",TEXT(A319,"yyyy-mm"))</f>
        <v/>
      </c>
      <c r="J319" s="90">
        <f>IF(D319="","",IF(AND(D319="Ingreso",H319&gt;0),"OK",IF(AND(D319="Gasto",H319&lt;0),"OK","⚠ Revisar signo")))</f>
        <v/>
      </c>
    </row>
    <row r="320" ht="15" customHeight="1" s="59">
      <c r="A320" s="75" t="n"/>
      <c r="B320" s="74" t="n"/>
      <c r="C320" s="74" t="n"/>
      <c r="D320" s="74" t="n"/>
      <c r="E320" s="74" t="n"/>
      <c r="F320" s="74" t="n"/>
      <c r="G320" s="89" t="n"/>
      <c r="H320" s="79" t="n"/>
      <c r="I320" s="90">
        <f>IF(A320="","",TEXT(A320,"yyyy-mm"))</f>
        <v/>
      </c>
      <c r="J320" s="90">
        <f>IF(D320="","",IF(AND(D320="Ingreso",H320&gt;0),"OK",IF(AND(D320="Gasto",H320&lt;0),"OK","⚠ Revisar signo")))</f>
        <v/>
      </c>
    </row>
    <row r="321" ht="15" customHeight="1" s="59">
      <c r="A321" s="75" t="n"/>
      <c r="B321" s="74" t="n"/>
      <c r="C321" s="74" t="n"/>
      <c r="D321" s="74" t="n"/>
      <c r="E321" s="74" t="n"/>
      <c r="F321" s="74" t="n"/>
      <c r="G321" s="89" t="n"/>
      <c r="H321" s="79" t="n"/>
      <c r="I321" s="90">
        <f>IF(A321="","",TEXT(A321,"yyyy-mm"))</f>
        <v/>
      </c>
      <c r="J321" s="90">
        <f>IF(D321="","",IF(AND(D321="Ingreso",H321&gt;0),"OK",IF(AND(D321="Gasto",H321&lt;0),"OK","⚠ Revisar signo")))</f>
        <v/>
      </c>
    </row>
    <row r="322" ht="15" customHeight="1" s="59">
      <c r="A322" s="75" t="n"/>
      <c r="B322" s="74" t="n"/>
      <c r="C322" s="74" t="n"/>
      <c r="D322" s="74" t="n"/>
      <c r="E322" s="74" t="n"/>
      <c r="F322" s="74" t="n"/>
      <c r="G322" s="89" t="n"/>
      <c r="H322" s="79" t="n"/>
      <c r="I322" s="90">
        <f>IF(A322="","",TEXT(A322,"yyyy-mm"))</f>
        <v/>
      </c>
      <c r="J322" s="90">
        <f>IF(D322="","",IF(AND(D322="Ingreso",H322&gt;0),"OK",IF(AND(D322="Gasto",H322&lt;0),"OK","⚠ Revisar signo")))</f>
        <v/>
      </c>
    </row>
    <row r="323" ht="15" customHeight="1" s="59">
      <c r="A323" s="75" t="n"/>
      <c r="B323" s="74" t="n"/>
      <c r="C323" s="74" t="n"/>
      <c r="D323" s="74" t="n"/>
      <c r="E323" s="74" t="n"/>
      <c r="F323" s="74" t="n"/>
      <c r="G323" s="89" t="n"/>
      <c r="H323" s="79" t="n"/>
      <c r="I323" s="90">
        <f>IF(A323="","",TEXT(A323,"yyyy-mm"))</f>
        <v/>
      </c>
      <c r="J323" s="90">
        <f>IF(D323="","",IF(AND(D323="Ingreso",H323&gt;0),"OK",IF(AND(D323="Gasto",H323&lt;0),"OK","⚠ Revisar signo")))</f>
        <v/>
      </c>
    </row>
    <row r="324" ht="15" customHeight="1" s="59">
      <c r="A324" s="75" t="n"/>
      <c r="B324" s="74" t="n"/>
      <c r="C324" s="74" t="n"/>
      <c r="D324" s="74" t="n"/>
      <c r="E324" s="74" t="n"/>
      <c r="F324" s="74" t="n"/>
      <c r="G324" s="89" t="n"/>
      <c r="H324" s="79" t="n"/>
      <c r="I324" s="90">
        <f>IF(A324="","",TEXT(A324,"yyyy-mm"))</f>
        <v/>
      </c>
      <c r="J324" s="90">
        <f>IF(D324="","",IF(AND(D324="Ingreso",H324&gt;0),"OK",IF(AND(D324="Gasto",H324&lt;0),"OK","⚠ Revisar signo")))</f>
        <v/>
      </c>
    </row>
    <row r="325" ht="15" customHeight="1" s="59">
      <c r="A325" s="75" t="n"/>
      <c r="B325" s="74" t="n"/>
      <c r="C325" s="74" t="n"/>
      <c r="D325" s="74" t="n"/>
      <c r="E325" s="74" t="n"/>
      <c r="F325" s="74" t="n"/>
      <c r="G325" s="89" t="n"/>
      <c r="H325" s="79" t="n"/>
      <c r="I325" s="90">
        <f>IF(A325="","",TEXT(A325,"yyyy-mm"))</f>
        <v/>
      </c>
      <c r="J325" s="90">
        <f>IF(D325="","",IF(AND(D325="Ingreso",H325&gt;0),"OK",IF(AND(D325="Gasto",H325&lt;0),"OK","⚠ Revisar signo")))</f>
        <v/>
      </c>
    </row>
    <row r="326" ht="15" customHeight="1" s="59">
      <c r="A326" s="75" t="n"/>
      <c r="B326" s="74" t="n"/>
      <c r="C326" s="74" t="n"/>
      <c r="D326" s="74" t="n"/>
      <c r="E326" s="74" t="n"/>
      <c r="F326" s="74" t="n"/>
      <c r="G326" s="89" t="n"/>
      <c r="H326" s="79" t="n"/>
      <c r="I326" s="90">
        <f>IF(A326="","",TEXT(A326,"yyyy-mm"))</f>
        <v/>
      </c>
      <c r="J326" s="90">
        <f>IF(D326="","",IF(AND(D326="Ingreso",H326&gt;0),"OK",IF(AND(D326="Gasto",H326&lt;0),"OK","⚠ Revisar signo")))</f>
        <v/>
      </c>
    </row>
    <row r="327" ht="15" customHeight="1" s="59">
      <c r="A327" s="75" t="n"/>
      <c r="B327" s="74" t="n"/>
      <c r="C327" s="74" t="n"/>
      <c r="D327" s="74" t="n"/>
      <c r="E327" s="74" t="n"/>
      <c r="F327" s="74" t="n"/>
      <c r="G327" s="89" t="n"/>
      <c r="H327" s="79" t="n"/>
      <c r="I327" s="90">
        <f>IF(A327="","",TEXT(A327,"yyyy-mm"))</f>
        <v/>
      </c>
      <c r="J327" s="90">
        <f>IF(D327="","",IF(AND(D327="Ingreso",H327&gt;0),"OK",IF(AND(D327="Gasto",H327&lt;0),"OK","⚠ Revisar signo")))</f>
        <v/>
      </c>
    </row>
    <row r="328" ht="15" customHeight="1" s="59">
      <c r="A328" s="75" t="n"/>
      <c r="B328" s="74" t="n"/>
      <c r="C328" s="74" t="n"/>
      <c r="D328" s="74" t="n"/>
      <c r="E328" s="74" t="n"/>
      <c r="F328" s="74" t="n"/>
      <c r="G328" s="89" t="n"/>
      <c r="H328" s="79" t="n"/>
      <c r="I328" s="90">
        <f>IF(A328="","",TEXT(A328,"yyyy-mm"))</f>
        <v/>
      </c>
      <c r="J328" s="90">
        <f>IF(D328="","",IF(AND(D328="Ingreso",H328&gt;0),"OK",IF(AND(D328="Gasto",H328&lt;0),"OK","⚠ Revisar signo")))</f>
        <v/>
      </c>
    </row>
    <row r="329" ht="15" customHeight="1" s="59">
      <c r="A329" s="75" t="n"/>
      <c r="B329" s="74" t="n"/>
      <c r="C329" s="74" t="n"/>
      <c r="D329" s="74" t="n"/>
      <c r="E329" s="74" t="n"/>
      <c r="F329" s="74" t="n"/>
      <c r="G329" s="89" t="n"/>
      <c r="H329" s="79" t="n"/>
      <c r="I329" s="90">
        <f>IF(A329="","",TEXT(A329,"yyyy-mm"))</f>
        <v/>
      </c>
      <c r="J329" s="90">
        <f>IF(D329="","",IF(AND(D329="Ingreso",H329&gt;0),"OK",IF(AND(D329="Gasto",H329&lt;0),"OK","⚠ Revisar signo")))</f>
        <v/>
      </c>
    </row>
    <row r="330" ht="15" customHeight="1" s="59">
      <c r="A330" s="75" t="n"/>
      <c r="B330" s="74" t="n"/>
      <c r="C330" s="74" t="n"/>
      <c r="D330" s="74" t="n"/>
      <c r="E330" s="74" t="n"/>
      <c r="F330" s="74" t="n"/>
      <c r="G330" s="89" t="n"/>
      <c r="H330" s="79" t="n"/>
      <c r="I330" s="90">
        <f>IF(A330="","",TEXT(A330,"yyyy-mm"))</f>
        <v/>
      </c>
      <c r="J330" s="90">
        <f>IF(D330="","",IF(AND(D330="Ingreso",H330&gt;0),"OK",IF(AND(D330="Gasto",H330&lt;0),"OK","⚠ Revisar signo")))</f>
        <v/>
      </c>
    </row>
    <row r="331" ht="15" customHeight="1" s="59">
      <c r="A331" s="75" t="n"/>
      <c r="B331" s="74" t="n"/>
      <c r="C331" s="74" t="n"/>
      <c r="D331" s="74" t="n"/>
      <c r="E331" s="74" t="n"/>
      <c r="F331" s="74" t="n"/>
      <c r="G331" s="89" t="n"/>
      <c r="H331" s="79" t="n"/>
      <c r="I331" s="90">
        <f>IF(A331="","",TEXT(A331,"yyyy-mm"))</f>
        <v/>
      </c>
      <c r="J331" s="90">
        <f>IF(D331="","",IF(AND(D331="Ingreso",H331&gt;0),"OK",IF(AND(D331="Gasto",H331&lt;0),"OK","⚠ Revisar signo")))</f>
        <v/>
      </c>
    </row>
    <row r="332" ht="15" customHeight="1" s="59">
      <c r="A332" s="75" t="n"/>
      <c r="B332" s="74" t="n"/>
      <c r="C332" s="74" t="n"/>
      <c r="D332" s="74" t="n"/>
      <c r="E332" s="74" t="n"/>
      <c r="F332" s="74" t="n"/>
      <c r="G332" s="89" t="n"/>
      <c r="H332" s="79" t="n"/>
      <c r="I332" s="90">
        <f>IF(A332="","",TEXT(A332,"yyyy-mm"))</f>
        <v/>
      </c>
      <c r="J332" s="90">
        <f>IF(D332="","",IF(AND(D332="Ingreso",H332&gt;0),"OK",IF(AND(D332="Gasto",H332&lt;0),"OK","⚠ Revisar signo")))</f>
        <v/>
      </c>
    </row>
    <row r="333" ht="15" customHeight="1" s="59">
      <c r="A333" s="75" t="n"/>
      <c r="B333" s="74" t="n"/>
      <c r="C333" s="74" t="n"/>
      <c r="D333" s="74" t="n"/>
      <c r="E333" s="74" t="n"/>
      <c r="F333" s="74" t="n"/>
      <c r="G333" s="89" t="n"/>
      <c r="H333" s="79" t="n"/>
      <c r="I333" s="90">
        <f>IF(A333="","",TEXT(A333,"yyyy-mm"))</f>
        <v/>
      </c>
      <c r="J333" s="90">
        <f>IF(D333="","",IF(AND(D333="Ingreso",H333&gt;0),"OK",IF(AND(D333="Gasto",H333&lt;0),"OK","⚠ Revisar signo")))</f>
        <v/>
      </c>
    </row>
    <row r="334" ht="15" customHeight="1" s="59">
      <c r="A334" s="75" t="n"/>
      <c r="B334" s="74" t="n"/>
      <c r="C334" s="74" t="n"/>
      <c r="D334" s="74" t="n"/>
      <c r="E334" s="74" t="n"/>
      <c r="F334" s="74" t="n"/>
      <c r="G334" s="89" t="n"/>
      <c r="H334" s="79" t="n"/>
      <c r="I334" s="90">
        <f>IF(A334="","",TEXT(A334,"yyyy-mm"))</f>
        <v/>
      </c>
      <c r="J334" s="90">
        <f>IF(D334="","",IF(AND(D334="Ingreso",H334&gt;0),"OK",IF(AND(D334="Gasto",H334&lt;0),"OK","⚠ Revisar signo")))</f>
        <v/>
      </c>
    </row>
    <row r="335" ht="15" customHeight="1" s="59">
      <c r="A335" s="75" t="n"/>
      <c r="B335" s="74" t="n"/>
      <c r="C335" s="74" t="n"/>
      <c r="D335" s="74" t="n"/>
      <c r="E335" s="74" t="n"/>
      <c r="F335" s="74" t="n"/>
      <c r="G335" s="89" t="n"/>
      <c r="H335" s="79" t="n"/>
      <c r="I335" s="90">
        <f>IF(A335="","",TEXT(A335,"yyyy-mm"))</f>
        <v/>
      </c>
      <c r="J335" s="90">
        <f>IF(D335="","",IF(AND(D335="Ingreso",H335&gt;0),"OK",IF(AND(D335="Gasto",H335&lt;0),"OK","⚠ Revisar signo")))</f>
        <v/>
      </c>
    </row>
    <row r="336" ht="15" customHeight="1" s="59">
      <c r="A336" s="75" t="n"/>
      <c r="B336" s="74" t="n"/>
      <c r="C336" s="74" t="n"/>
      <c r="D336" s="74" t="n"/>
      <c r="E336" s="74" t="n"/>
      <c r="F336" s="74" t="n"/>
      <c r="G336" s="89" t="n"/>
      <c r="H336" s="79" t="n"/>
      <c r="I336" s="90">
        <f>IF(A336="","",TEXT(A336,"yyyy-mm"))</f>
        <v/>
      </c>
      <c r="J336" s="90">
        <f>IF(D336="","",IF(AND(D336="Ingreso",H336&gt;0),"OK",IF(AND(D336="Gasto",H336&lt;0),"OK","⚠ Revisar signo")))</f>
        <v/>
      </c>
    </row>
    <row r="337" ht="15" customHeight="1" s="59">
      <c r="A337" s="75" t="n"/>
      <c r="B337" s="74" t="n"/>
      <c r="C337" s="74" t="n"/>
      <c r="D337" s="74" t="n"/>
      <c r="E337" s="74" t="n"/>
      <c r="F337" s="74" t="n"/>
      <c r="G337" s="89" t="n"/>
      <c r="H337" s="79" t="n"/>
      <c r="I337" s="90">
        <f>IF(A337="","",TEXT(A337,"yyyy-mm"))</f>
        <v/>
      </c>
      <c r="J337" s="90">
        <f>IF(D337="","",IF(AND(D337="Ingreso",H337&gt;0),"OK",IF(AND(D337="Gasto",H337&lt;0),"OK","⚠ Revisar signo")))</f>
        <v/>
      </c>
    </row>
    <row r="338" ht="15" customHeight="1" s="59">
      <c r="A338" s="75" t="n"/>
      <c r="B338" s="74" t="n"/>
      <c r="C338" s="74" t="n"/>
      <c r="D338" s="74" t="n"/>
      <c r="E338" s="74" t="n"/>
      <c r="F338" s="74" t="n"/>
      <c r="G338" s="89" t="n"/>
      <c r="H338" s="79" t="n"/>
      <c r="I338" s="90">
        <f>IF(A338="","",TEXT(A338,"yyyy-mm"))</f>
        <v/>
      </c>
      <c r="J338" s="90">
        <f>IF(D338="","",IF(AND(D338="Ingreso",H338&gt;0),"OK",IF(AND(D338="Gasto",H338&lt;0),"OK","⚠ Revisar signo")))</f>
        <v/>
      </c>
    </row>
    <row r="339" ht="15" customHeight="1" s="59">
      <c r="A339" s="75" t="n"/>
      <c r="B339" s="74" t="n"/>
      <c r="C339" s="74" t="n"/>
      <c r="D339" s="74" t="n"/>
      <c r="E339" s="74" t="n"/>
      <c r="F339" s="74" t="n"/>
      <c r="G339" s="89" t="n"/>
      <c r="H339" s="79" t="n"/>
      <c r="I339" s="90">
        <f>IF(A339="","",TEXT(A339,"yyyy-mm"))</f>
        <v/>
      </c>
      <c r="J339" s="90">
        <f>IF(D339="","",IF(AND(D339="Ingreso",H339&gt;0),"OK",IF(AND(D339="Gasto",H339&lt;0),"OK","⚠ Revisar signo")))</f>
        <v/>
      </c>
    </row>
    <row r="340" ht="15" customHeight="1" s="59">
      <c r="A340" s="75" t="n"/>
      <c r="B340" s="74" t="n"/>
      <c r="C340" s="74" t="n"/>
      <c r="D340" s="74" t="n"/>
      <c r="E340" s="74" t="n"/>
      <c r="F340" s="74" t="n"/>
      <c r="G340" s="89" t="n"/>
      <c r="H340" s="79" t="n"/>
      <c r="I340" s="90">
        <f>IF(A340="","",TEXT(A340,"yyyy-mm"))</f>
        <v/>
      </c>
      <c r="J340" s="90">
        <f>IF(D340="","",IF(AND(D340="Ingreso",H340&gt;0),"OK",IF(AND(D340="Gasto",H340&lt;0),"OK","⚠ Revisar signo")))</f>
        <v/>
      </c>
    </row>
    <row r="341" ht="15" customHeight="1" s="59">
      <c r="A341" s="75" t="n"/>
      <c r="B341" s="74" t="n"/>
      <c r="C341" s="74" t="n"/>
      <c r="D341" s="74" t="n"/>
      <c r="E341" s="74" t="n"/>
      <c r="F341" s="74" t="n"/>
      <c r="G341" s="89" t="n"/>
      <c r="H341" s="79" t="n"/>
      <c r="I341" s="90">
        <f>IF(A341="","",TEXT(A341,"yyyy-mm"))</f>
        <v/>
      </c>
      <c r="J341" s="90">
        <f>IF(D341="","",IF(AND(D341="Ingreso",H341&gt;0),"OK",IF(AND(D341="Gasto",H341&lt;0),"OK","⚠ Revisar signo")))</f>
        <v/>
      </c>
    </row>
    <row r="342" ht="15" customHeight="1" s="59">
      <c r="A342" s="75" t="n"/>
      <c r="B342" s="74" t="n"/>
      <c r="C342" s="74" t="n"/>
      <c r="D342" s="74" t="n"/>
      <c r="E342" s="74" t="n"/>
      <c r="F342" s="74" t="n"/>
      <c r="G342" s="89" t="n"/>
      <c r="H342" s="79" t="n"/>
      <c r="I342" s="90">
        <f>IF(A342="","",TEXT(A342,"yyyy-mm"))</f>
        <v/>
      </c>
      <c r="J342" s="90">
        <f>IF(D342="","",IF(AND(D342="Ingreso",H342&gt;0),"OK",IF(AND(D342="Gasto",H342&lt;0),"OK","⚠ Revisar signo")))</f>
        <v/>
      </c>
    </row>
    <row r="343" ht="15" customHeight="1" s="59">
      <c r="A343" s="75" t="n"/>
      <c r="B343" s="74" t="n"/>
      <c r="C343" s="74" t="n"/>
      <c r="D343" s="74" t="n"/>
      <c r="E343" s="74" t="n"/>
      <c r="F343" s="74" t="n"/>
      <c r="G343" s="89" t="n"/>
      <c r="H343" s="79" t="n"/>
      <c r="I343" s="90">
        <f>IF(A343="","",TEXT(A343,"yyyy-mm"))</f>
        <v/>
      </c>
      <c r="J343" s="90">
        <f>IF(D343="","",IF(AND(D343="Ingreso",H343&gt;0),"OK",IF(AND(D343="Gasto",H343&lt;0),"OK","⚠ Revisar signo")))</f>
        <v/>
      </c>
    </row>
    <row r="344" ht="15" customHeight="1" s="59">
      <c r="A344" s="75" t="n"/>
      <c r="B344" s="74" t="n"/>
      <c r="C344" s="74" t="n"/>
      <c r="D344" s="74" t="n"/>
      <c r="E344" s="74" t="n"/>
      <c r="F344" s="74" t="n"/>
      <c r="G344" s="89" t="n"/>
      <c r="H344" s="79" t="n"/>
      <c r="I344" s="90">
        <f>IF(A344="","",TEXT(A344,"yyyy-mm"))</f>
        <v/>
      </c>
      <c r="J344" s="90">
        <f>IF(D344="","",IF(AND(D344="Ingreso",H344&gt;0),"OK",IF(AND(D344="Gasto",H344&lt;0),"OK","⚠ Revisar signo")))</f>
        <v/>
      </c>
    </row>
    <row r="345" ht="15" customHeight="1" s="59">
      <c r="A345" s="75" t="n"/>
      <c r="B345" s="74" t="n"/>
      <c r="C345" s="74" t="n"/>
      <c r="D345" s="74" t="n"/>
      <c r="E345" s="74" t="n"/>
      <c r="F345" s="74" t="n"/>
      <c r="G345" s="89" t="n"/>
      <c r="H345" s="79" t="n"/>
      <c r="I345" s="90">
        <f>IF(A345="","",TEXT(A345,"yyyy-mm"))</f>
        <v/>
      </c>
      <c r="J345" s="90">
        <f>IF(D345="","",IF(AND(D345="Ingreso",H345&gt;0),"OK",IF(AND(D345="Gasto",H345&lt;0),"OK","⚠ Revisar signo")))</f>
        <v/>
      </c>
    </row>
    <row r="346" ht="15" customHeight="1" s="59">
      <c r="A346" s="75" t="n"/>
      <c r="B346" s="74" t="n"/>
      <c r="C346" s="74" t="n"/>
      <c r="D346" s="74" t="n"/>
      <c r="E346" s="74" t="n"/>
      <c r="F346" s="74" t="n"/>
      <c r="G346" s="89" t="n"/>
      <c r="H346" s="79" t="n"/>
      <c r="I346" s="90">
        <f>IF(A346="","",TEXT(A346,"yyyy-mm"))</f>
        <v/>
      </c>
      <c r="J346" s="90">
        <f>IF(D346="","",IF(AND(D346="Ingreso",H346&gt;0),"OK",IF(AND(D346="Gasto",H346&lt;0),"OK","⚠ Revisar signo")))</f>
        <v/>
      </c>
    </row>
    <row r="347" ht="15" customHeight="1" s="59">
      <c r="A347" s="75" t="n"/>
      <c r="B347" s="74" t="n"/>
      <c r="C347" s="74" t="n"/>
      <c r="D347" s="74" t="n"/>
      <c r="E347" s="74" t="n"/>
      <c r="F347" s="74" t="n"/>
      <c r="G347" s="89" t="n"/>
      <c r="H347" s="79" t="n"/>
      <c r="I347" s="90">
        <f>IF(A347="","",TEXT(A347,"yyyy-mm"))</f>
        <v/>
      </c>
      <c r="J347" s="90">
        <f>IF(D347="","",IF(AND(D347="Ingreso",H347&gt;0),"OK",IF(AND(D347="Gasto",H347&lt;0),"OK","⚠ Revisar signo")))</f>
        <v/>
      </c>
    </row>
    <row r="348" ht="15" customHeight="1" s="59">
      <c r="A348" s="75" t="n"/>
      <c r="B348" s="74" t="n"/>
      <c r="C348" s="74" t="n"/>
      <c r="D348" s="74" t="n"/>
      <c r="E348" s="74" t="n"/>
      <c r="F348" s="74" t="n"/>
      <c r="G348" s="89" t="n"/>
      <c r="H348" s="79" t="n"/>
      <c r="I348" s="90">
        <f>IF(A348="","",TEXT(A348,"yyyy-mm"))</f>
        <v/>
      </c>
      <c r="J348" s="90">
        <f>IF(D348="","",IF(AND(D348="Ingreso",H348&gt;0),"OK",IF(AND(D348="Gasto",H348&lt;0),"OK","⚠ Revisar signo")))</f>
        <v/>
      </c>
    </row>
    <row r="349" ht="15" customHeight="1" s="59">
      <c r="A349" s="75" t="n"/>
      <c r="B349" s="74" t="n"/>
      <c r="C349" s="74" t="n"/>
      <c r="D349" s="74" t="n"/>
      <c r="E349" s="74" t="n"/>
      <c r="F349" s="74" t="n"/>
      <c r="G349" s="89" t="n"/>
      <c r="H349" s="79" t="n"/>
      <c r="I349" s="90">
        <f>IF(A349="","",TEXT(A349,"yyyy-mm"))</f>
        <v/>
      </c>
      <c r="J349" s="90">
        <f>IF(D349="","",IF(AND(D349="Ingreso",H349&gt;0),"OK",IF(AND(D349="Gasto",H349&lt;0),"OK","⚠ Revisar signo")))</f>
        <v/>
      </c>
    </row>
    <row r="350" ht="15" customHeight="1" s="59">
      <c r="A350" s="75" t="n"/>
      <c r="B350" s="74" t="n"/>
      <c r="C350" s="74" t="n"/>
      <c r="D350" s="74" t="n"/>
      <c r="E350" s="74" t="n"/>
      <c r="F350" s="74" t="n"/>
      <c r="G350" s="89" t="n"/>
      <c r="H350" s="79" t="n"/>
      <c r="I350" s="90">
        <f>IF(A350="","",TEXT(A350,"yyyy-mm"))</f>
        <v/>
      </c>
      <c r="J350" s="90">
        <f>IF(D350="","",IF(AND(D350="Ingreso",H350&gt;0),"OK",IF(AND(D350="Gasto",H350&lt;0),"OK","⚠ Revisar signo")))</f>
        <v/>
      </c>
    </row>
    <row r="351" ht="15" customHeight="1" s="59">
      <c r="A351" s="75" t="n"/>
      <c r="B351" s="74" t="n"/>
      <c r="C351" s="74" t="n"/>
      <c r="D351" s="74" t="n"/>
      <c r="E351" s="74" t="n"/>
      <c r="F351" s="74" t="n"/>
      <c r="G351" s="89" t="n"/>
      <c r="H351" s="79" t="n"/>
      <c r="I351" s="90">
        <f>IF(A351="","",TEXT(A351,"yyyy-mm"))</f>
        <v/>
      </c>
      <c r="J351" s="90">
        <f>IF(D351="","",IF(AND(D351="Ingreso",H351&gt;0),"OK",IF(AND(D351="Gasto",H351&lt;0),"OK","⚠ Revisar signo")))</f>
        <v/>
      </c>
    </row>
    <row r="352" ht="15" customHeight="1" s="59">
      <c r="A352" s="75" t="n"/>
      <c r="B352" s="74" t="n"/>
      <c r="C352" s="74" t="n"/>
      <c r="D352" s="74" t="n"/>
      <c r="E352" s="74" t="n"/>
      <c r="F352" s="74" t="n"/>
      <c r="G352" s="89" t="n"/>
      <c r="H352" s="79" t="n"/>
      <c r="I352" s="90">
        <f>IF(A352="","",TEXT(A352,"yyyy-mm"))</f>
        <v/>
      </c>
      <c r="J352" s="90">
        <f>IF(D352="","",IF(AND(D352="Ingreso",H352&gt;0),"OK",IF(AND(D352="Gasto",H352&lt;0),"OK","⚠ Revisar signo")))</f>
        <v/>
      </c>
    </row>
    <row r="353" ht="15" customHeight="1" s="59">
      <c r="A353" s="75" t="n"/>
      <c r="B353" s="74" t="n"/>
      <c r="C353" s="74" t="n"/>
      <c r="D353" s="74" t="n"/>
      <c r="E353" s="74" t="n"/>
      <c r="F353" s="74" t="n"/>
      <c r="G353" s="89" t="n"/>
      <c r="H353" s="79" t="n"/>
      <c r="I353" s="90">
        <f>IF(A353="","",TEXT(A353,"yyyy-mm"))</f>
        <v/>
      </c>
      <c r="J353" s="90">
        <f>IF(D353="","",IF(AND(D353="Ingreso",H353&gt;0),"OK",IF(AND(D353="Gasto",H353&lt;0),"OK","⚠ Revisar signo")))</f>
        <v/>
      </c>
    </row>
    <row r="354" ht="15" customHeight="1" s="59">
      <c r="A354" s="75" t="n"/>
      <c r="B354" s="74" t="n"/>
      <c r="C354" s="74" t="n"/>
      <c r="D354" s="74" t="n"/>
      <c r="E354" s="74" t="n"/>
      <c r="F354" s="74" t="n"/>
      <c r="G354" s="89" t="n"/>
      <c r="H354" s="79" t="n"/>
      <c r="I354" s="90">
        <f>IF(A354="","",TEXT(A354,"yyyy-mm"))</f>
        <v/>
      </c>
      <c r="J354" s="90">
        <f>IF(D354="","",IF(AND(D354="Ingreso",H354&gt;0),"OK",IF(AND(D354="Gasto",H354&lt;0),"OK","⚠ Revisar signo")))</f>
        <v/>
      </c>
    </row>
    <row r="355" ht="15" customHeight="1" s="59">
      <c r="A355" s="75" t="n"/>
      <c r="B355" s="74" t="n"/>
      <c r="C355" s="74" t="n"/>
      <c r="D355" s="74" t="n"/>
      <c r="E355" s="74" t="n"/>
      <c r="F355" s="74" t="n"/>
      <c r="G355" s="89" t="n"/>
      <c r="H355" s="79" t="n"/>
      <c r="I355" s="90">
        <f>IF(A355="","",TEXT(A355,"yyyy-mm"))</f>
        <v/>
      </c>
      <c r="J355" s="90">
        <f>IF(D355="","",IF(AND(D355="Ingreso",H355&gt;0),"OK",IF(AND(D355="Gasto",H355&lt;0),"OK","⚠ Revisar signo")))</f>
        <v/>
      </c>
    </row>
    <row r="356" ht="15" customHeight="1" s="59">
      <c r="A356" s="75" t="n"/>
      <c r="B356" s="74" t="n"/>
      <c r="C356" s="74" t="n"/>
      <c r="D356" s="74" t="n"/>
      <c r="E356" s="74" t="n"/>
      <c r="F356" s="74" t="n"/>
      <c r="G356" s="89" t="n"/>
      <c r="H356" s="79" t="n"/>
      <c r="I356" s="90">
        <f>IF(A356="","",TEXT(A356,"yyyy-mm"))</f>
        <v/>
      </c>
      <c r="J356" s="90">
        <f>IF(D356="","",IF(AND(D356="Ingreso",H356&gt;0),"OK",IF(AND(D356="Gasto",H356&lt;0),"OK","⚠ Revisar signo")))</f>
        <v/>
      </c>
    </row>
    <row r="357" ht="15" customHeight="1" s="59">
      <c r="A357" s="75" t="n"/>
      <c r="B357" s="74" t="n"/>
      <c r="C357" s="74" t="n"/>
      <c r="D357" s="74" t="n"/>
      <c r="E357" s="74" t="n"/>
      <c r="F357" s="74" t="n"/>
      <c r="G357" s="89" t="n"/>
      <c r="H357" s="79" t="n"/>
      <c r="I357" s="90">
        <f>IF(A357="","",TEXT(A357,"yyyy-mm"))</f>
        <v/>
      </c>
      <c r="J357" s="90">
        <f>IF(D357="","",IF(AND(D357="Ingreso",H357&gt;0),"OK",IF(AND(D357="Gasto",H357&lt;0),"OK","⚠ Revisar signo")))</f>
        <v/>
      </c>
    </row>
    <row r="358" ht="15" customHeight="1" s="59">
      <c r="A358" s="75" t="n"/>
      <c r="B358" s="74" t="n"/>
      <c r="C358" s="74" t="n"/>
      <c r="D358" s="74" t="n"/>
      <c r="E358" s="74" t="n"/>
      <c r="F358" s="74" t="n"/>
      <c r="G358" s="89" t="n"/>
      <c r="H358" s="79" t="n"/>
      <c r="I358" s="90">
        <f>IF(A358="","",TEXT(A358,"yyyy-mm"))</f>
        <v/>
      </c>
      <c r="J358" s="90">
        <f>IF(D358="","",IF(AND(D358="Ingreso",H358&gt;0),"OK",IF(AND(D358="Gasto",H358&lt;0),"OK","⚠ Revisar signo")))</f>
        <v/>
      </c>
    </row>
    <row r="359" ht="15" customHeight="1" s="59">
      <c r="A359" s="75" t="n"/>
      <c r="B359" s="74" t="n"/>
      <c r="C359" s="74" t="n"/>
      <c r="D359" s="74" t="n"/>
      <c r="E359" s="74" t="n"/>
      <c r="F359" s="74" t="n"/>
      <c r="G359" s="89" t="n"/>
      <c r="H359" s="79" t="n"/>
      <c r="I359" s="90">
        <f>IF(A359="","",TEXT(A359,"yyyy-mm"))</f>
        <v/>
      </c>
      <c r="J359" s="90">
        <f>IF(D359="","",IF(AND(D359="Ingreso",H359&gt;0),"OK",IF(AND(D359="Gasto",H359&lt;0),"OK","⚠ Revisar signo")))</f>
        <v/>
      </c>
    </row>
    <row r="360" ht="15" customHeight="1" s="59">
      <c r="A360" s="75" t="n"/>
      <c r="B360" s="74" t="n"/>
      <c r="C360" s="74" t="n"/>
      <c r="D360" s="74" t="n"/>
      <c r="E360" s="74" t="n"/>
      <c r="F360" s="74" t="n"/>
      <c r="G360" s="89" t="n"/>
      <c r="H360" s="79" t="n"/>
      <c r="I360" s="90">
        <f>IF(A360="","",TEXT(A360,"yyyy-mm"))</f>
        <v/>
      </c>
      <c r="J360" s="90">
        <f>IF(D360="","",IF(AND(D360="Ingreso",H360&gt;0),"OK",IF(AND(D360="Gasto",H360&lt;0),"OK","⚠ Revisar signo")))</f>
        <v/>
      </c>
    </row>
    <row r="361" ht="15" customHeight="1" s="59">
      <c r="A361" s="75" t="n"/>
      <c r="B361" s="74" t="n"/>
      <c r="C361" s="74" t="n"/>
      <c r="D361" s="74" t="n"/>
      <c r="E361" s="74" t="n"/>
      <c r="F361" s="74" t="n"/>
      <c r="G361" s="89" t="n"/>
      <c r="H361" s="79" t="n"/>
      <c r="I361" s="90">
        <f>IF(A361="","",TEXT(A361,"yyyy-mm"))</f>
        <v/>
      </c>
      <c r="J361" s="90">
        <f>IF(D361="","",IF(AND(D361="Ingreso",H361&gt;0),"OK",IF(AND(D361="Gasto",H361&lt;0),"OK","⚠ Revisar signo")))</f>
        <v/>
      </c>
    </row>
    <row r="362" ht="15" customHeight="1" s="59">
      <c r="A362" s="75" t="n"/>
      <c r="B362" s="74" t="n"/>
      <c r="C362" s="74" t="n"/>
      <c r="D362" s="74" t="n"/>
      <c r="E362" s="74" t="n"/>
      <c r="F362" s="74" t="n"/>
      <c r="G362" s="89" t="n"/>
      <c r="H362" s="79" t="n"/>
      <c r="I362" s="90">
        <f>IF(A362="","",TEXT(A362,"yyyy-mm"))</f>
        <v/>
      </c>
      <c r="J362" s="90">
        <f>IF(D362="","",IF(AND(D362="Ingreso",H362&gt;0),"OK",IF(AND(D362="Gasto",H362&lt;0),"OK","⚠ Revisar signo")))</f>
        <v/>
      </c>
    </row>
    <row r="363" ht="15" customHeight="1" s="59">
      <c r="A363" s="75" t="n"/>
      <c r="B363" s="74" t="n"/>
      <c r="C363" s="74" t="n"/>
      <c r="D363" s="74" t="n"/>
      <c r="E363" s="74" t="n"/>
      <c r="F363" s="74" t="n"/>
      <c r="G363" s="89" t="n"/>
      <c r="H363" s="79" t="n"/>
      <c r="I363" s="90">
        <f>IF(A363="","",TEXT(A363,"yyyy-mm"))</f>
        <v/>
      </c>
      <c r="J363" s="90">
        <f>IF(D363="","",IF(AND(D363="Ingreso",H363&gt;0),"OK",IF(AND(D363="Gasto",H363&lt;0),"OK","⚠ Revisar signo")))</f>
        <v/>
      </c>
    </row>
    <row r="364" ht="15" customHeight="1" s="59">
      <c r="A364" s="75" t="n"/>
      <c r="B364" s="74" t="n"/>
      <c r="C364" s="74" t="n"/>
      <c r="D364" s="74" t="n"/>
      <c r="E364" s="74" t="n"/>
      <c r="F364" s="74" t="n"/>
      <c r="G364" s="89" t="n"/>
      <c r="H364" s="79" t="n"/>
      <c r="I364" s="90">
        <f>IF(A364="","",TEXT(A364,"yyyy-mm"))</f>
        <v/>
      </c>
      <c r="J364" s="90">
        <f>IF(D364="","",IF(AND(D364="Ingreso",H364&gt;0),"OK",IF(AND(D364="Gasto",H364&lt;0),"OK","⚠ Revisar signo")))</f>
        <v/>
      </c>
    </row>
    <row r="365" ht="15" customHeight="1" s="59">
      <c r="A365" s="75" t="n"/>
      <c r="B365" s="74" t="n"/>
      <c r="C365" s="74" t="n"/>
      <c r="D365" s="74" t="n"/>
      <c r="E365" s="74" t="n"/>
      <c r="F365" s="74" t="n"/>
      <c r="G365" s="89" t="n"/>
      <c r="H365" s="79" t="n"/>
      <c r="I365" s="90">
        <f>IF(A365="","",TEXT(A365,"yyyy-mm"))</f>
        <v/>
      </c>
      <c r="J365" s="90">
        <f>IF(D365="","",IF(AND(D365="Ingreso",H365&gt;0),"OK",IF(AND(D365="Gasto",H365&lt;0),"OK","⚠ Revisar signo")))</f>
        <v/>
      </c>
    </row>
    <row r="366" ht="15" customHeight="1" s="59">
      <c r="A366" s="75" t="n"/>
      <c r="B366" s="74" t="n"/>
      <c r="C366" s="74" t="n"/>
      <c r="D366" s="74" t="n"/>
      <c r="E366" s="74" t="n"/>
      <c r="F366" s="74" t="n"/>
      <c r="G366" s="89" t="n"/>
      <c r="H366" s="79" t="n"/>
      <c r="I366" s="90">
        <f>IF(A366="","",TEXT(A366,"yyyy-mm"))</f>
        <v/>
      </c>
      <c r="J366" s="90">
        <f>IF(D366="","",IF(AND(D366="Ingreso",H366&gt;0),"OK",IF(AND(D366="Gasto",H366&lt;0),"OK","⚠ Revisar signo")))</f>
        <v/>
      </c>
    </row>
    <row r="367" ht="15" customHeight="1" s="59">
      <c r="A367" s="75" t="n"/>
      <c r="B367" s="74" t="n"/>
      <c r="C367" s="74" t="n"/>
      <c r="D367" s="74" t="n"/>
      <c r="E367" s="74" t="n"/>
      <c r="F367" s="74" t="n"/>
      <c r="G367" s="89" t="n"/>
      <c r="H367" s="79" t="n"/>
      <c r="I367" s="90">
        <f>IF(A367="","",TEXT(A367,"yyyy-mm"))</f>
        <v/>
      </c>
      <c r="J367" s="90">
        <f>IF(D367="","",IF(AND(D367="Ingreso",H367&gt;0),"OK",IF(AND(D367="Gasto",H367&lt;0),"OK","⚠ Revisar signo")))</f>
        <v/>
      </c>
    </row>
    <row r="368" ht="15" customHeight="1" s="59">
      <c r="A368" s="75" t="n"/>
      <c r="B368" s="74" t="n"/>
      <c r="C368" s="74" t="n"/>
      <c r="D368" s="74" t="n"/>
      <c r="E368" s="74" t="n"/>
      <c r="F368" s="74" t="n"/>
      <c r="G368" s="89" t="n"/>
      <c r="H368" s="79" t="n"/>
      <c r="I368" s="90">
        <f>IF(A368="","",TEXT(A368,"yyyy-mm"))</f>
        <v/>
      </c>
      <c r="J368" s="90">
        <f>IF(D368="","",IF(AND(D368="Ingreso",H368&gt;0),"OK",IF(AND(D368="Gasto",H368&lt;0),"OK","⚠ Revisar signo")))</f>
        <v/>
      </c>
    </row>
    <row r="369" ht="15" customHeight="1" s="59">
      <c r="A369" s="75" t="n"/>
      <c r="B369" s="74" t="n"/>
      <c r="C369" s="74" t="n"/>
      <c r="D369" s="74" t="n"/>
      <c r="E369" s="74" t="n"/>
      <c r="F369" s="74" t="n"/>
      <c r="G369" s="89" t="n"/>
      <c r="H369" s="79" t="n"/>
      <c r="I369" s="90">
        <f>IF(A369="","",TEXT(A369,"yyyy-mm"))</f>
        <v/>
      </c>
      <c r="J369" s="90">
        <f>IF(D369="","",IF(AND(D369="Ingreso",H369&gt;0),"OK",IF(AND(D369="Gasto",H369&lt;0),"OK","⚠ Revisar signo")))</f>
        <v/>
      </c>
    </row>
    <row r="370" ht="15" customHeight="1" s="59">
      <c r="A370" s="75" t="n"/>
      <c r="B370" s="74" t="n"/>
      <c r="C370" s="74" t="n"/>
      <c r="D370" s="74" t="n"/>
      <c r="E370" s="74" t="n"/>
      <c r="F370" s="74" t="n"/>
      <c r="G370" s="89" t="n"/>
      <c r="H370" s="79" t="n"/>
      <c r="I370" s="90">
        <f>IF(A370="","",TEXT(A370,"yyyy-mm"))</f>
        <v/>
      </c>
      <c r="J370" s="90">
        <f>IF(D370="","",IF(AND(D370="Ingreso",H370&gt;0),"OK",IF(AND(D370="Gasto",H370&lt;0),"OK","⚠ Revisar signo")))</f>
        <v/>
      </c>
    </row>
    <row r="371" ht="15" customHeight="1" s="59">
      <c r="A371" s="75" t="n"/>
      <c r="B371" s="74" t="n"/>
      <c r="C371" s="74" t="n"/>
      <c r="D371" s="74" t="n"/>
      <c r="E371" s="74" t="n"/>
      <c r="F371" s="74" t="n"/>
      <c r="G371" s="89" t="n"/>
      <c r="H371" s="79" t="n"/>
      <c r="I371" s="90">
        <f>IF(A371="","",TEXT(A371,"yyyy-mm"))</f>
        <v/>
      </c>
      <c r="J371" s="90">
        <f>IF(D371="","",IF(AND(D371="Ingreso",H371&gt;0),"OK",IF(AND(D371="Gasto",H371&lt;0),"OK","⚠ Revisar signo")))</f>
        <v/>
      </c>
    </row>
    <row r="372" ht="15" customHeight="1" s="59">
      <c r="A372" s="75" t="n"/>
      <c r="B372" s="74" t="n"/>
      <c r="C372" s="74" t="n"/>
      <c r="D372" s="74" t="n"/>
      <c r="E372" s="74" t="n"/>
      <c r="F372" s="74" t="n"/>
      <c r="G372" s="89" t="n"/>
      <c r="H372" s="79" t="n"/>
      <c r="I372" s="90">
        <f>IF(A372="","",TEXT(A372,"yyyy-mm"))</f>
        <v/>
      </c>
      <c r="J372" s="90">
        <f>IF(D372="","",IF(AND(D372="Ingreso",H372&gt;0),"OK",IF(AND(D372="Gasto",H372&lt;0),"OK","⚠ Revisar signo")))</f>
        <v/>
      </c>
    </row>
    <row r="373" ht="15" customHeight="1" s="59">
      <c r="A373" s="75" t="n"/>
      <c r="B373" s="74" t="n"/>
      <c r="C373" s="74" t="n"/>
      <c r="D373" s="74" t="n"/>
      <c r="E373" s="74" t="n"/>
      <c r="F373" s="74" t="n"/>
      <c r="G373" s="89" t="n"/>
      <c r="H373" s="79" t="n"/>
      <c r="I373" s="90">
        <f>IF(A373="","",TEXT(A373,"yyyy-mm"))</f>
        <v/>
      </c>
      <c r="J373" s="90">
        <f>IF(D373="","",IF(AND(D373="Ingreso",H373&gt;0),"OK",IF(AND(D373="Gasto",H373&lt;0),"OK","⚠ Revisar signo")))</f>
        <v/>
      </c>
    </row>
    <row r="374" ht="15" customHeight="1" s="59">
      <c r="A374" s="75" t="n"/>
      <c r="B374" s="74" t="n"/>
      <c r="C374" s="74" t="n"/>
      <c r="D374" s="74" t="n"/>
      <c r="E374" s="74" t="n"/>
      <c r="F374" s="74" t="n"/>
      <c r="G374" s="89" t="n"/>
      <c r="H374" s="79" t="n"/>
      <c r="I374" s="90">
        <f>IF(A374="","",TEXT(A374,"yyyy-mm"))</f>
        <v/>
      </c>
      <c r="J374" s="90">
        <f>IF(D374="","",IF(AND(D374="Ingreso",H374&gt;0),"OK",IF(AND(D374="Gasto",H374&lt;0),"OK","⚠ Revisar signo")))</f>
        <v/>
      </c>
    </row>
    <row r="375" ht="15" customHeight="1" s="59">
      <c r="A375" s="75" t="n"/>
      <c r="B375" s="74" t="n"/>
      <c r="C375" s="74" t="n"/>
      <c r="D375" s="74" t="n"/>
      <c r="E375" s="74" t="n"/>
      <c r="F375" s="74" t="n"/>
      <c r="G375" s="89" t="n"/>
      <c r="H375" s="79" t="n"/>
      <c r="I375" s="90">
        <f>IF(A375="","",TEXT(A375,"yyyy-mm"))</f>
        <v/>
      </c>
      <c r="J375" s="90">
        <f>IF(D375="","",IF(AND(D375="Ingreso",H375&gt;0),"OK",IF(AND(D375="Gasto",H375&lt;0),"OK","⚠ Revisar signo")))</f>
        <v/>
      </c>
    </row>
    <row r="376" ht="15" customHeight="1" s="59">
      <c r="A376" s="75" t="n"/>
      <c r="B376" s="74" t="n"/>
      <c r="C376" s="74" t="n"/>
      <c r="D376" s="74" t="n"/>
      <c r="E376" s="74" t="n"/>
      <c r="F376" s="74" t="n"/>
      <c r="G376" s="89" t="n"/>
      <c r="H376" s="79" t="n"/>
      <c r="I376" s="90">
        <f>IF(A376="","",TEXT(A376,"yyyy-mm"))</f>
        <v/>
      </c>
      <c r="J376" s="90">
        <f>IF(D376="","",IF(AND(D376="Ingreso",H376&gt;0),"OK",IF(AND(D376="Gasto",H376&lt;0),"OK","⚠ Revisar signo")))</f>
        <v/>
      </c>
    </row>
    <row r="377" ht="15" customHeight="1" s="59">
      <c r="A377" s="75" t="n"/>
      <c r="B377" s="74" t="n"/>
      <c r="C377" s="74" t="n"/>
      <c r="D377" s="74" t="n"/>
      <c r="E377" s="74" t="n"/>
      <c r="F377" s="74" t="n"/>
      <c r="G377" s="89" t="n"/>
      <c r="H377" s="79" t="n"/>
      <c r="I377" s="90">
        <f>IF(A377="","",TEXT(A377,"yyyy-mm"))</f>
        <v/>
      </c>
      <c r="J377" s="90">
        <f>IF(D377="","",IF(AND(D377="Ingreso",H377&gt;0),"OK",IF(AND(D377="Gasto",H377&lt;0),"OK","⚠ Revisar signo")))</f>
        <v/>
      </c>
    </row>
    <row r="378" ht="15" customHeight="1" s="59">
      <c r="A378" s="75" t="n"/>
      <c r="B378" s="74" t="n"/>
      <c r="C378" s="74" t="n"/>
      <c r="D378" s="74" t="n"/>
      <c r="E378" s="74" t="n"/>
      <c r="F378" s="74" t="n"/>
      <c r="G378" s="89" t="n"/>
      <c r="H378" s="79" t="n"/>
      <c r="I378" s="90">
        <f>IF(A378="","",TEXT(A378,"yyyy-mm"))</f>
        <v/>
      </c>
      <c r="J378" s="90">
        <f>IF(D378="","",IF(AND(D378="Ingreso",H378&gt;0),"OK",IF(AND(D378="Gasto",H378&lt;0),"OK","⚠ Revisar signo")))</f>
        <v/>
      </c>
    </row>
    <row r="379" ht="15" customHeight="1" s="59">
      <c r="A379" s="75" t="n"/>
      <c r="B379" s="74" t="n"/>
      <c r="C379" s="74" t="n"/>
      <c r="D379" s="74" t="n"/>
      <c r="E379" s="74" t="n"/>
      <c r="F379" s="74" t="n"/>
      <c r="G379" s="89" t="n"/>
      <c r="H379" s="79" t="n"/>
      <c r="I379" s="90">
        <f>IF(A379="","",TEXT(A379,"yyyy-mm"))</f>
        <v/>
      </c>
      <c r="J379" s="90">
        <f>IF(D379="","",IF(AND(D379="Ingreso",H379&gt;0),"OK",IF(AND(D379="Gasto",H379&lt;0),"OK","⚠ Revisar signo")))</f>
        <v/>
      </c>
    </row>
    <row r="380" ht="15" customHeight="1" s="59">
      <c r="A380" s="75" t="n"/>
      <c r="B380" s="74" t="n"/>
      <c r="C380" s="74" t="n"/>
      <c r="D380" s="74" t="n"/>
      <c r="E380" s="74" t="n"/>
      <c r="F380" s="74" t="n"/>
      <c r="G380" s="89" t="n"/>
      <c r="H380" s="79" t="n"/>
      <c r="I380" s="90">
        <f>IF(A380="","",TEXT(A380,"yyyy-mm"))</f>
        <v/>
      </c>
      <c r="J380" s="90">
        <f>IF(D380="","",IF(AND(D380="Ingreso",H380&gt;0),"OK",IF(AND(D380="Gasto",H380&lt;0),"OK","⚠ Revisar signo")))</f>
        <v/>
      </c>
    </row>
    <row r="381" ht="15" customHeight="1" s="59">
      <c r="A381" s="75" t="n"/>
      <c r="B381" s="74" t="n"/>
      <c r="C381" s="74" t="n"/>
      <c r="D381" s="74" t="n"/>
      <c r="E381" s="74" t="n"/>
      <c r="F381" s="74" t="n"/>
      <c r="G381" s="89" t="n"/>
      <c r="H381" s="79" t="n"/>
      <c r="I381" s="90">
        <f>IF(A381="","",TEXT(A381,"yyyy-mm"))</f>
        <v/>
      </c>
      <c r="J381" s="90">
        <f>IF(D381="","",IF(AND(D381="Ingreso",H381&gt;0),"OK",IF(AND(D381="Gasto",H381&lt;0),"OK","⚠ Revisar signo")))</f>
        <v/>
      </c>
    </row>
    <row r="382" ht="15" customHeight="1" s="59">
      <c r="A382" s="75" t="n"/>
      <c r="B382" s="74" t="n"/>
      <c r="C382" s="74" t="n"/>
      <c r="D382" s="74" t="n"/>
      <c r="E382" s="74" t="n"/>
      <c r="F382" s="74" t="n"/>
      <c r="G382" s="89" t="n"/>
      <c r="H382" s="79" t="n"/>
      <c r="I382" s="90">
        <f>IF(A382="","",TEXT(A382,"yyyy-mm"))</f>
        <v/>
      </c>
      <c r="J382" s="90">
        <f>IF(D382="","",IF(AND(D382="Ingreso",H382&gt;0),"OK",IF(AND(D382="Gasto",H382&lt;0),"OK","⚠ Revisar signo")))</f>
        <v/>
      </c>
    </row>
    <row r="383" ht="15" customHeight="1" s="59">
      <c r="A383" s="75" t="n"/>
      <c r="B383" s="74" t="n"/>
      <c r="C383" s="74" t="n"/>
      <c r="D383" s="74" t="n"/>
      <c r="E383" s="74" t="n"/>
      <c r="F383" s="74" t="n"/>
      <c r="G383" s="89" t="n"/>
      <c r="H383" s="79" t="n"/>
      <c r="I383" s="90">
        <f>IF(A383="","",TEXT(A383,"yyyy-mm"))</f>
        <v/>
      </c>
      <c r="J383" s="90">
        <f>IF(D383="","",IF(AND(D383="Ingreso",H383&gt;0),"OK",IF(AND(D383="Gasto",H383&lt;0),"OK","⚠ Revisar signo")))</f>
        <v/>
      </c>
    </row>
    <row r="384" ht="15" customHeight="1" s="59">
      <c r="A384" s="75" t="n"/>
      <c r="B384" s="74" t="n"/>
      <c r="C384" s="74" t="n"/>
      <c r="D384" s="74" t="n"/>
      <c r="E384" s="74" t="n"/>
      <c r="F384" s="74" t="n"/>
      <c r="G384" s="89" t="n"/>
      <c r="H384" s="79" t="n"/>
      <c r="I384" s="90">
        <f>IF(A384="","",TEXT(A384,"yyyy-mm"))</f>
        <v/>
      </c>
      <c r="J384" s="90">
        <f>IF(D384="","",IF(AND(D384="Ingreso",H384&gt;0),"OK",IF(AND(D384="Gasto",H384&lt;0),"OK","⚠ Revisar signo")))</f>
        <v/>
      </c>
    </row>
    <row r="385" ht="15" customHeight="1" s="59">
      <c r="A385" s="75" t="n"/>
      <c r="B385" s="74" t="n"/>
      <c r="C385" s="74" t="n"/>
      <c r="D385" s="74" t="n"/>
      <c r="E385" s="74" t="n"/>
      <c r="F385" s="74" t="n"/>
      <c r="G385" s="89" t="n"/>
      <c r="H385" s="79" t="n"/>
      <c r="I385" s="90">
        <f>IF(A385="","",TEXT(A385,"yyyy-mm"))</f>
        <v/>
      </c>
      <c r="J385" s="90">
        <f>IF(D385="","",IF(AND(D385="Ingreso",H385&gt;0),"OK",IF(AND(D385="Gasto",H385&lt;0),"OK","⚠ Revisar signo")))</f>
        <v/>
      </c>
    </row>
    <row r="386" ht="15" customHeight="1" s="59">
      <c r="A386" s="75" t="n"/>
      <c r="B386" s="74" t="n"/>
      <c r="C386" s="74" t="n"/>
      <c r="D386" s="74" t="n"/>
      <c r="E386" s="74" t="n"/>
      <c r="F386" s="74" t="n"/>
      <c r="G386" s="89" t="n"/>
      <c r="H386" s="79" t="n"/>
      <c r="I386" s="90">
        <f>IF(A386="","",TEXT(A386,"yyyy-mm"))</f>
        <v/>
      </c>
      <c r="J386" s="90">
        <f>IF(D386="","",IF(AND(D386="Ingreso",H386&gt;0),"OK",IF(AND(D386="Gasto",H386&lt;0),"OK","⚠ Revisar signo")))</f>
        <v/>
      </c>
    </row>
    <row r="387" ht="15" customHeight="1" s="59">
      <c r="A387" s="75" t="n"/>
      <c r="B387" s="74" t="n"/>
      <c r="C387" s="74" t="n"/>
      <c r="D387" s="74" t="n"/>
      <c r="E387" s="74" t="n"/>
      <c r="F387" s="74" t="n"/>
      <c r="G387" s="89" t="n"/>
      <c r="H387" s="79" t="n"/>
      <c r="I387" s="90">
        <f>IF(A387="","",TEXT(A387,"yyyy-mm"))</f>
        <v/>
      </c>
      <c r="J387" s="90">
        <f>IF(D387="","",IF(AND(D387="Ingreso",H387&gt;0),"OK",IF(AND(D387="Gasto",H387&lt;0),"OK","⚠ Revisar signo")))</f>
        <v/>
      </c>
    </row>
    <row r="388" ht="15" customHeight="1" s="59">
      <c r="A388" s="75" t="n"/>
      <c r="B388" s="74" t="n"/>
      <c r="C388" s="74" t="n"/>
      <c r="D388" s="74" t="n"/>
      <c r="E388" s="74" t="n"/>
      <c r="F388" s="74" t="n"/>
      <c r="G388" s="89" t="n"/>
      <c r="H388" s="79" t="n"/>
      <c r="I388" s="90">
        <f>IF(A388="","",TEXT(A388,"yyyy-mm"))</f>
        <v/>
      </c>
      <c r="J388" s="90">
        <f>IF(D388="","",IF(AND(D388="Ingreso",H388&gt;0),"OK",IF(AND(D388="Gasto",H388&lt;0),"OK","⚠ Revisar signo")))</f>
        <v/>
      </c>
    </row>
    <row r="389" ht="15" customHeight="1" s="59">
      <c r="A389" s="75" t="n"/>
      <c r="B389" s="74" t="n"/>
      <c r="C389" s="74" t="n"/>
      <c r="D389" s="74" t="n"/>
      <c r="E389" s="74" t="n"/>
      <c r="F389" s="74" t="n"/>
      <c r="G389" s="89" t="n"/>
      <c r="H389" s="79" t="n"/>
      <c r="I389" s="90">
        <f>IF(A389="","",TEXT(A389,"yyyy-mm"))</f>
        <v/>
      </c>
      <c r="J389" s="90">
        <f>IF(D389="","",IF(AND(D389="Ingreso",H389&gt;0),"OK",IF(AND(D389="Gasto",H389&lt;0),"OK","⚠ Revisar signo")))</f>
        <v/>
      </c>
    </row>
    <row r="390" ht="15" customHeight="1" s="59">
      <c r="A390" s="75" t="n"/>
      <c r="B390" s="74" t="n"/>
      <c r="C390" s="74" t="n"/>
      <c r="D390" s="74" t="n"/>
      <c r="E390" s="74" t="n"/>
      <c r="F390" s="74" t="n"/>
      <c r="G390" s="89" t="n"/>
      <c r="H390" s="79" t="n"/>
      <c r="I390" s="90">
        <f>IF(A390="","",TEXT(A390,"yyyy-mm"))</f>
        <v/>
      </c>
      <c r="J390" s="90">
        <f>IF(D390="","",IF(AND(D390="Ingreso",H390&gt;0),"OK",IF(AND(D390="Gasto",H390&lt;0),"OK","⚠ Revisar signo")))</f>
        <v/>
      </c>
    </row>
    <row r="391" ht="15" customHeight="1" s="59">
      <c r="A391" s="75" t="n"/>
      <c r="B391" s="74" t="n"/>
      <c r="C391" s="74" t="n"/>
      <c r="D391" s="74" t="n"/>
      <c r="E391" s="74" t="n"/>
      <c r="F391" s="74" t="n"/>
      <c r="G391" s="89" t="n"/>
      <c r="H391" s="79" t="n"/>
      <c r="I391" s="90">
        <f>IF(A391="","",TEXT(A391,"yyyy-mm"))</f>
        <v/>
      </c>
      <c r="J391" s="90">
        <f>IF(D391="","",IF(AND(D391="Ingreso",H391&gt;0),"OK",IF(AND(D391="Gasto",H391&lt;0),"OK","⚠ Revisar signo")))</f>
        <v/>
      </c>
    </row>
    <row r="392" ht="15" customHeight="1" s="59">
      <c r="A392" s="75" t="n"/>
      <c r="B392" s="74" t="n"/>
      <c r="C392" s="74" t="n"/>
      <c r="D392" s="74" t="n"/>
      <c r="E392" s="74" t="n"/>
      <c r="F392" s="74" t="n"/>
      <c r="G392" s="89" t="n"/>
      <c r="H392" s="79" t="n"/>
      <c r="I392" s="90">
        <f>IF(A392="","",TEXT(A392,"yyyy-mm"))</f>
        <v/>
      </c>
      <c r="J392" s="90">
        <f>IF(D392="","",IF(AND(D392="Ingreso",H392&gt;0),"OK",IF(AND(D392="Gasto",H392&lt;0),"OK","⚠ Revisar signo")))</f>
        <v/>
      </c>
    </row>
    <row r="393" ht="15" customHeight="1" s="59">
      <c r="A393" s="75" t="n"/>
      <c r="B393" s="74" t="n"/>
      <c r="C393" s="74" t="n"/>
      <c r="D393" s="74" t="n"/>
      <c r="E393" s="74" t="n"/>
      <c r="F393" s="74" t="n"/>
      <c r="G393" s="89" t="n"/>
      <c r="H393" s="79" t="n"/>
      <c r="I393" s="90">
        <f>IF(A393="","",TEXT(A393,"yyyy-mm"))</f>
        <v/>
      </c>
      <c r="J393" s="90">
        <f>IF(D393="","",IF(AND(D393="Ingreso",H393&gt;0),"OK",IF(AND(D393="Gasto",H393&lt;0),"OK","⚠ Revisar signo")))</f>
        <v/>
      </c>
    </row>
    <row r="394" ht="15" customHeight="1" s="59">
      <c r="A394" s="75" t="n"/>
      <c r="B394" s="74" t="n"/>
      <c r="C394" s="74" t="n"/>
      <c r="D394" s="74" t="n"/>
      <c r="E394" s="74" t="n"/>
      <c r="F394" s="74" t="n"/>
      <c r="G394" s="89" t="n"/>
      <c r="H394" s="79" t="n"/>
      <c r="I394" s="90">
        <f>IF(A394="","",TEXT(A394,"yyyy-mm"))</f>
        <v/>
      </c>
      <c r="J394" s="90">
        <f>IF(D394="","",IF(AND(D394="Ingreso",H394&gt;0),"OK",IF(AND(D394="Gasto",H394&lt;0),"OK","⚠ Revisar signo")))</f>
        <v/>
      </c>
    </row>
    <row r="395" ht="15" customHeight="1" s="59">
      <c r="A395" s="75" t="n"/>
      <c r="B395" s="74" t="n"/>
      <c r="C395" s="74" t="n"/>
      <c r="D395" s="74" t="n"/>
      <c r="E395" s="74" t="n"/>
      <c r="F395" s="74" t="n"/>
      <c r="G395" s="89" t="n"/>
      <c r="H395" s="79" t="n"/>
      <c r="I395" s="90">
        <f>IF(A395="","",TEXT(A395,"yyyy-mm"))</f>
        <v/>
      </c>
      <c r="J395" s="90">
        <f>IF(D395="","",IF(AND(D395="Ingreso",H395&gt;0),"OK",IF(AND(D395="Gasto",H395&lt;0),"OK","⚠ Revisar signo")))</f>
        <v/>
      </c>
    </row>
    <row r="396" ht="15" customHeight="1" s="59">
      <c r="A396" s="75" t="n"/>
      <c r="B396" s="74" t="n"/>
      <c r="C396" s="74" t="n"/>
      <c r="D396" s="74" t="n"/>
      <c r="E396" s="74" t="n"/>
      <c r="F396" s="74" t="n"/>
      <c r="G396" s="89" t="n"/>
      <c r="H396" s="79" t="n"/>
      <c r="I396" s="90">
        <f>IF(A396="","",TEXT(A396,"yyyy-mm"))</f>
        <v/>
      </c>
      <c r="J396" s="90">
        <f>IF(D396="","",IF(AND(D396="Ingreso",H396&gt;0),"OK",IF(AND(D396="Gasto",H396&lt;0),"OK","⚠ Revisar signo")))</f>
        <v/>
      </c>
    </row>
    <row r="397" ht="15" customHeight="1" s="59">
      <c r="A397" s="75" t="n"/>
      <c r="B397" s="74" t="n"/>
      <c r="C397" s="74" t="n"/>
      <c r="D397" s="74" t="n"/>
      <c r="E397" s="74" t="n"/>
      <c r="F397" s="74" t="n"/>
      <c r="G397" s="89" t="n"/>
      <c r="H397" s="79" t="n"/>
      <c r="I397" s="90">
        <f>IF(A397="","",TEXT(A397,"yyyy-mm"))</f>
        <v/>
      </c>
      <c r="J397" s="90">
        <f>IF(D397="","",IF(AND(D397="Ingreso",H397&gt;0),"OK",IF(AND(D397="Gasto",H397&lt;0),"OK","⚠ Revisar signo")))</f>
        <v/>
      </c>
    </row>
    <row r="398" ht="15" customHeight="1" s="59">
      <c r="A398" s="75" t="n"/>
      <c r="B398" s="74" t="n"/>
      <c r="C398" s="74" t="n"/>
      <c r="D398" s="74" t="n"/>
      <c r="E398" s="74" t="n"/>
      <c r="F398" s="74" t="n"/>
      <c r="G398" s="89" t="n"/>
      <c r="H398" s="79" t="n"/>
      <c r="I398" s="90">
        <f>IF(A398="","",TEXT(A398,"yyyy-mm"))</f>
        <v/>
      </c>
      <c r="J398" s="90">
        <f>IF(D398="","",IF(AND(D398="Ingreso",H398&gt;0),"OK",IF(AND(D398="Gasto",H398&lt;0),"OK","⚠ Revisar signo")))</f>
        <v/>
      </c>
    </row>
    <row r="399" ht="15" customHeight="1" s="59">
      <c r="A399" s="75" t="n"/>
      <c r="B399" s="74" t="n"/>
      <c r="C399" s="74" t="n"/>
      <c r="D399" s="74" t="n"/>
      <c r="E399" s="74" t="n"/>
      <c r="F399" s="74" t="n"/>
      <c r="G399" s="89" t="n"/>
      <c r="H399" s="79" t="n"/>
      <c r="I399" s="90">
        <f>IF(A399="","",TEXT(A399,"yyyy-mm"))</f>
        <v/>
      </c>
      <c r="J399" s="90">
        <f>IF(D399="","",IF(AND(D399="Ingreso",H399&gt;0),"OK",IF(AND(D399="Gasto",H399&lt;0),"OK","⚠ Revisar signo")))</f>
        <v/>
      </c>
    </row>
    <row r="400" ht="15" customHeight="1" s="59">
      <c r="A400" s="75" t="n"/>
      <c r="B400" s="74" t="n"/>
      <c r="C400" s="74" t="n"/>
      <c r="D400" s="74" t="n"/>
      <c r="E400" s="74" t="n"/>
      <c r="F400" s="74" t="n"/>
      <c r="G400" s="89" t="n"/>
      <c r="H400" s="79" t="n"/>
      <c r="I400" s="90">
        <f>IF(A400="","",TEXT(A400,"yyyy-mm"))</f>
        <v/>
      </c>
      <c r="J400" s="90">
        <f>IF(D400="","",IF(AND(D400="Ingreso",H400&gt;0),"OK",IF(AND(D400="Gasto",H400&lt;0),"OK","⚠ Revisar signo")))</f>
        <v/>
      </c>
    </row>
    <row r="401" ht="15" customHeight="1" s="59">
      <c r="A401" s="75" t="n"/>
      <c r="B401" s="74" t="n"/>
      <c r="C401" s="74" t="n"/>
      <c r="D401" s="74" t="n"/>
      <c r="E401" s="74" t="n"/>
      <c r="F401" s="74" t="n"/>
      <c r="G401" s="89" t="n"/>
      <c r="H401" s="79" t="n"/>
      <c r="I401" s="90">
        <f>IF(A401="","",TEXT(A401,"yyyy-mm"))</f>
        <v/>
      </c>
      <c r="J401" s="90">
        <f>IF(D401="","",IF(AND(D401="Ingreso",H401&gt;0),"OK",IF(AND(D401="Gasto",H401&lt;0),"OK","⚠ Revisar signo")))</f>
        <v/>
      </c>
    </row>
    <row r="402" ht="15" customHeight="1" s="59">
      <c r="A402" s="75" t="n"/>
      <c r="B402" s="74" t="n"/>
      <c r="C402" s="74" t="n"/>
      <c r="D402" s="74" t="n"/>
      <c r="E402" s="74" t="n"/>
      <c r="F402" s="74" t="n"/>
      <c r="G402" s="89" t="n"/>
      <c r="H402" s="79" t="n"/>
      <c r="I402" s="90">
        <f>IF(A402="","",TEXT(A402,"yyyy-mm"))</f>
        <v/>
      </c>
      <c r="J402" s="90">
        <f>IF(D402="","",IF(AND(D402="Ingreso",H402&gt;0),"OK",IF(AND(D402="Gasto",H402&lt;0),"OK","⚠ Revisar signo")))</f>
        <v/>
      </c>
    </row>
    <row r="403" ht="15" customHeight="1" s="59">
      <c r="A403" s="75" t="n"/>
      <c r="B403" s="74" t="n"/>
      <c r="C403" s="74" t="n"/>
      <c r="D403" s="74" t="n"/>
      <c r="E403" s="74" t="n"/>
      <c r="F403" s="74" t="n"/>
      <c r="G403" s="89" t="n"/>
      <c r="H403" s="79" t="n"/>
      <c r="I403" s="90">
        <f>IF(A403="","",TEXT(A403,"yyyy-mm"))</f>
        <v/>
      </c>
      <c r="J403" s="90">
        <f>IF(D403="","",IF(AND(D403="Ingreso",H403&gt;0),"OK",IF(AND(D403="Gasto",H403&lt;0),"OK","⚠ Revisar signo")))</f>
        <v/>
      </c>
    </row>
    <row r="404" ht="15" customHeight="1" s="59">
      <c r="A404" s="75" t="n"/>
      <c r="B404" s="74" t="n"/>
      <c r="C404" s="74" t="n"/>
      <c r="D404" s="74" t="n"/>
      <c r="E404" s="74" t="n"/>
      <c r="F404" s="74" t="n"/>
      <c r="G404" s="89" t="n"/>
      <c r="H404" s="79" t="n"/>
      <c r="I404" s="90">
        <f>IF(A404="","",TEXT(A404,"yyyy-mm"))</f>
        <v/>
      </c>
      <c r="J404" s="90">
        <f>IF(D404="","",IF(AND(D404="Ingreso",H404&gt;0),"OK",IF(AND(D404="Gasto",H404&lt;0),"OK","⚠ Revisar signo")))</f>
        <v/>
      </c>
    </row>
    <row r="405" ht="15" customHeight="1" s="59">
      <c r="A405" s="75" t="n"/>
      <c r="B405" s="74" t="n"/>
      <c r="C405" s="74" t="n"/>
      <c r="D405" s="74" t="n"/>
      <c r="E405" s="74" t="n"/>
      <c r="F405" s="74" t="n"/>
      <c r="G405" s="89" t="n"/>
      <c r="H405" s="79" t="n"/>
      <c r="I405" s="90">
        <f>IF(A405="","",TEXT(A405,"yyyy-mm"))</f>
        <v/>
      </c>
      <c r="J405" s="90">
        <f>IF(D405="","",IF(AND(D405="Ingreso",H405&gt;0),"OK",IF(AND(D405="Gasto",H405&lt;0),"OK","⚠ Revisar signo")))</f>
        <v/>
      </c>
    </row>
    <row r="406" ht="15" customHeight="1" s="59">
      <c r="A406" s="75" t="n"/>
      <c r="B406" s="74" t="n"/>
      <c r="C406" s="74" t="n"/>
      <c r="D406" s="74" t="n"/>
      <c r="E406" s="74" t="n"/>
      <c r="F406" s="74" t="n"/>
      <c r="G406" s="89" t="n"/>
      <c r="H406" s="79" t="n"/>
      <c r="I406" s="90">
        <f>IF(A406="","",TEXT(A406,"yyyy-mm"))</f>
        <v/>
      </c>
      <c r="J406" s="90">
        <f>IF(D406="","",IF(AND(D406="Ingreso",H406&gt;0),"OK",IF(AND(D406="Gasto",H406&lt;0),"OK","⚠ Revisar signo")))</f>
        <v/>
      </c>
    </row>
    <row r="407" ht="15" customHeight="1" s="59">
      <c r="A407" s="75" t="n"/>
      <c r="B407" s="74" t="n"/>
      <c r="C407" s="74" t="n"/>
      <c r="D407" s="74" t="n"/>
      <c r="E407" s="74" t="n"/>
      <c r="F407" s="74" t="n"/>
      <c r="G407" s="89" t="n"/>
      <c r="H407" s="79" t="n"/>
      <c r="I407" s="90">
        <f>IF(A407="","",TEXT(A407,"yyyy-mm"))</f>
        <v/>
      </c>
      <c r="J407" s="90">
        <f>IF(D407="","",IF(AND(D407="Ingreso",H407&gt;0),"OK",IF(AND(D407="Gasto",H407&lt;0),"OK","⚠ Revisar signo")))</f>
        <v/>
      </c>
    </row>
    <row r="408" ht="15" customHeight="1" s="59">
      <c r="A408" s="75" t="n"/>
      <c r="B408" s="74" t="n"/>
      <c r="C408" s="74" t="n"/>
      <c r="D408" s="74" t="n"/>
      <c r="E408" s="74" t="n"/>
      <c r="F408" s="74" t="n"/>
      <c r="G408" s="89" t="n"/>
      <c r="H408" s="79" t="n"/>
      <c r="I408" s="90">
        <f>IF(A408="","",TEXT(A408,"yyyy-mm"))</f>
        <v/>
      </c>
      <c r="J408" s="90">
        <f>IF(D408="","",IF(AND(D408="Ingreso",H408&gt;0),"OK",IF(AND(D408="Gasto",H408&lt;0),"OK","⚠ Revisar signo")))</f>
        <v/>
      </c>
    </row>
    <row r="409" ht="15" customHeight="1" s="59">
      <c r="A409" s="75" t="n"/>
      <c r="B409" s="74" t="n"/>
      <c r="C409" s="74" t="n"/>
      <c r="D409" s="74" t="n"/>
      <c r="E409" s="74" t="n"/>
      <c r="F409" s="74" t="n"/>
      <c r="G409" s="89" t="n"/>
      <c r="H409" s="79" t="n"/>
      <c r="I409" s="90">
        <f>IF(A409="","",TEXT(A409,"yyyy-mm"))</f>
        <v/>
      </c>
      <c r="J409" s="90">
        <f>IF(D409="","",IF(AND(D409="Ingreso",H409&gt;0),"OK",IF(AND(D409="Gasto",H409&lt;0),"OK","⚠ Revisar signo")))</f>
        <v/>
      </c>
    </row>
    <row r="410" ht="15" customHeight="1" s="59">
      <c r="A410" s="75" t="n"/>
      <c r="B410" s="74" t="n"/>
      <c r="C410" s="74" t="n"/>
      <c r="D410" s="74" t="n"/>
      <c r="E410" s="74" t="n"/>
      <c r="F410" s="74" t="n"/>
      <c r="G410" s="89" t="n"/>
      <c r="H410" s="79" t="n"/>
      <c r="I410" s="90">
        <f>IF(A410="","",TEXT(A410,"yyyy-mm"))</f>
        <v/>
      </c>
      <c r="J410" s="90">
        <f>IF(D410="","",IF(AND(D410="Ingreso",H410&gt;0),"OK",IF(AND(D410="Gasto",H410&lt;0),"OK","⚠ Revisar signo")))</f>
        <v/>
      </c>
    </row>
    <row r="411" ht="15" customHeight="1" s="59">
      <c r="A411" s="75" t="n"/>
      <c r="B411" s="74" t="n"/>
      <c r="C411" s="74" t="n"/>
      <c r="D411" s="74" t="n"/>
      <c r="E411" s="74" t="n"/>
      <c r="F411" s="74" t="n"/>
      <c r="G411" s="89" t="n"/>
      <c r="H411" s="79" t="n"/>
      <c r="I411" s="90">
        <f>IF(A411="","",TEXT(A411,"yyyy-mm"))</f>
        <v/>
      </c>
      <c r="J411" s="90">
        <f>IF(D411="","",IF(AND(D411="Ingreso",H411&gt;0),"OK",IF(AND(D411="Gasto",H411&lt;0),"OK","⚠ Revisar signo")))</f>
        <v/>
      </c>
    </row>
    <row r="412" ht="15" customHeight="1" s="59">
      <c r="A412" s="75" t="n"/>
      <c r="B412" s="74" t="n"/>
      <c r="C412" s="74" t="n"/>
      <c r="D412" s="74" t="n"/>
      <c r="E412" s="74" t="n"/>
      <c r="F412" s="74" t="n"/>
      <c r="G412" s="89" t="n"/>
      <c r="H412" s="79" t="n"/>
      <c r="I412" s="90">
        <f>IF(A412="","",TEXT(A412,"yyyy-mm"))</f>
        <v/>
      </c>
      <c r="J412" s="90">
        <f>IF(D412="","",IF(AND(D412="Ingreso",H412&gt;0),"OK",IF(AND(D412="Gasto",H412&lt;0),"OK","⚠ Revisar signo")))</f>
        <v/>
      </c>
    </row>
    <row r="413" ht="15" customHeight="1" s="59">
      <c r="A413" s="75" t="n"/>
      <c r="B413" s="74" t="n"/>
      <c r="C413" s="74" t="n"/>
      <c r="D413" s="74" t="n"/>
      <c r="E413" s="74" t="n"/>
      <c r="F413" s="74" t="n"/>
      <c r="G413" s="89" t="n"/>
      <c r="H413" s="79" t="n"/>
      <c r="I413" s="90">
        <f>IF(A413="","",TEXT(A413,"yyyy-mm"))</f>
        <v/>
      </c>
      <c r="J413" s="90">
        <f>IF(D413="","",IF(AND(D413="Ingreso",H413&gt;0),"OK",IF(AND(D413="Gasto",H413&lt;0),"OK","⚠ Revisar signo")))</f>
        <v/>
      </c>
    </row>
    <row r="414" ht="15" customHeight="1" s="59">
      <c r="A414" s="75" t="n"/>
      <c r="B414" s="74" t="n"/>
      <c r="C414" s="74" t="n"/>
      <c r="D414" s="74" t="n"/>
      <c r="E414" s="74" t="n"/>
      <c r="F414" s="74" t="n"/>
      <c r="G414" s="89" t="n"/>
      <c r="H414" s="79" t="n"/>
      <c r="I414" s="90">
        <f>IF(A414="","",TEXT(A414,"yyyy-mm"))</f>
        <v/>
      </c>
      <c r="J414" s="90">
        <f>IF(D414="","",IF(AND(D414="Ingreso",H414&gt;0),"OK",IF(AND(D414="Gasto",H414&lt;0),"OK","⚠ Revisar signo")))</f>
        <v/>
      </c>
    </row>
    <row r="415" ht="15" customHeight="1" s="59">
      <c r="A415" s="75" t="n"/>
      <c r="B415" s="74" t="n"/>
      <c r="C415" s="74" t="n"/>
      <c r="D415" s="74" t="n"/>
      <c r="E415" s="74" t="n"/>
      <c r="F415" s="74" t="n"/>
      <c r="G415" s="89" t="n"/>
      <c r="H415" s="79" t="n"/>
      <c r="I415" s="90">
        <f>IF(A415="","",TEXT(A415,"yyyy-mm"))</f>
        <v/>
      </c>
      <c r="J415" s="90">
        <f>IF(D415="","",IF(AND(D415="Ingreso",H415&gt;0),"OK",IF(AND(D415="Gasto",H415&lt;0),"OK","⚠ Revisar signo")))</f>
        <v/>
      </c>
    </row>
    <row r="416" ht="15" customHeight="1" s="59">
      <c r="A416" s="75" t="n"/>
      <c r="B416" s="74" t="n"/>
      <c r="C416" s="74" t="n"/>
      <c r="D416" s="74" t="n"/>
      <c r="E416" s="74" t="n"/>
      <c r="F416" s="74" t="n"/>
      <c r="G416" s="89" t="n"/>
      <c r="H416" s="79" t="n"/>
      <c r="I416" s="90">
        <f>IF(A416="","",TEXT(A416,"yyyy-mm"))</f>
        <v/>
      </c>
      <c r="J416" s="90">
        <f>IF(D416="","",IF(AND(D416="Ingreso",H416&gt;0),"OK",IF(AND(D416="Gasto",H416&lt;0),"OK","⚠ Revisar signo")))</f>
        <v/>
      </c>
    </row>
    <row r="417" ht="15" customHeight="1" s="59">
      <c r="A417" s="75" t="n"/>
      <c r="B417" s="74" t="n"/>
      <c r="C417" s="74" t="n"/>
      <c r="D417" s="74" t="n"/>
      <c r="E417" s="74" t="n"/>
      <c r="F417" s="74" t="n"/>
      <c r="G417" s="89" t="n"/>
      <c r="H417" s="79" t="n"/>
      <c r="I417" s="90">
        <f>IF(A417="","",TEXT(A417,"yyyy-mm"))</f>
        <v/>
      </c>
      <c r="J417" s="90">
        <f>IF(D417="","",IF(AND(D417="Ingreso",H417&gt;0),"OK",IF(AND(D417="Gasto",H417&lt;0),"OK","⚠ Revisar signo")))</f>
        <v/>
      </c>
    </row>
    <row r="418" ht="15" customHeight="1" s="59">
      <c r="A418" s="75" t="n"/>
      <c r="B418" s="74" t="n"/>
      <c r="C418" s="74" t="n"/>
      <c r="D418" s="74" t="n"/>
      <c r="E418" s="74" t="n"/>
      <c r="F418" s="74" t="n"/>
      <c r="G418" s="89" t="n"/>
      <c r="H418" s="79" t="n"/>
      <c r="I418" s="90">
        <f>IF(A418="","",TEXT(A418,"yyyy-mm"))</f>
        <v/>
      </c>
      <c r="J418" s="90">
        <f>IF(D418="","",IF(AND(D418="Ingreso",H418&gt;0),"OK",IF(AND(D418="Gasto",H418&lt;0),"OK","⚠ Revisar signo")))</f>
        <v/>
      </c>
    </row>
    <row r="419" ht="15" customHeight="1" s="59">
      <c r="A419" s="75" t="n"/>
      <c r="B419" s="74" t="n"/>
      <c r="C419" s="74" t="n"/>
      <c r="D419" s="74" t="n"/>
      <c r="E419" s="74" t="n"/>
      <c r="F419" s="74" t="n"/>
      <c r="G419" s="89" t="n"/>
      <c r="H419" s="79" t="n"/>
      <c r="I419" s="90">
        <f>IF(A419="","",TEXT(A419,"yyyy-mm"))</f>
        <v/>
      </c>
      <c r="J419" s="90">
        <f>IF(D419="","",IF(AND(D419="Ingreso",H419&gt;0),"OK",IF(AND(D419="Gasto",H419&lt;0),"OK","⚠ Revisar signo")))</f>
        <v/>
      </c>
    </row>
    <row r="420" ht="15" customHeight="1" s="59">
      <c r="A420" s="75" t="n"/>
      <c r="B420" s="74" t="n"/>
      <c r="C420" s="74" t="n"/>
      <c r="D420" s="74" t="n"/>
      <c r="E420" s="74" t="n"/>
      <c r="F420" s="74" t="n"/>
      <c r="G420" s="89" t="n"/>
      <c r="H420" s="79" t="n"/>
      <c r="I420" s="90">
        <f>IF(A420="","",TEXT(A420,"yyyy-mm"))</f>
        <v/>
      </c>
      <c r="J420" s="90">
        <f>IF(D420="","",IF(AND(D420="Ingreso",H420&gt;0),"OK",IF(AND(D420="Gasto",H420&lt;0),"OK","⚠ Revisar signo")))</f>
        <v/>
      </c>
    </row>
    <row r="421" ht="15" customHeight="1" s="59">
      <c r="A421" s="75" t="n"/>
      <c r="B421" s="74" t="n"/>
      <c r="C421" s="74" t="n"/>
      <c r="D421" s="74" t="n"/>
      <c r="E421" s="74" t="n"/>
      <c r="F421" s="74" t="n"/>
      <c r="G421" s="89" t="n"/>
      <c r="H421" s="79" t="n"/>
      <c r="I421" s="90">
        <f>IF(A421="","",TEXT(A421,"yyyy-mm"))</f>
        <v/>
      </c>
      <c r="J421" s="90">
        <f>IF(D421="","",IF(AND(D421="Ingreso",H421&gt;0),"OK",IF(AND(D421="Gasto",H421&lt;0),"OK","⚠ Revisar signo")))</f>
        <v/>
      </c>
    </row>
    <row r="422" ht="15" customHeight="1" s="59">
      <c r="A422" s="75" t="n"/>
      <c r="B422" s="74" t="n"/>
      <c r="C422" s="74" t="n"/>
      <c r="D422" s="74" t="n"/>
      <c r="E422" s="74" t="n"/>
      <c r="F422" s="74" t="n"/>
      <c r="G422" s="89" t="n"/>
      <c r="H422" s="79" t="n"/>
      <c r="I422" s="90">
        <f>IF(A422="","",TEXT(A422,"yyyy-mm"))</f>
        <v/>
      </c>
      <c r="J422" s="90">
        <f>IF(D422="","",IF(AND(D422="Ingreso",H422&gt;0),"OK",IF(AND(D422="Gasto",H422&lt;0),"OK","⚠ Revisar signo")))</f>
        <v/>
      </c>
    </row>
    <row r="423" ht="15" customHeight="1" s="59">
      <c r="A423" s="75" t="n"/>
      <c r="B423" s="74" t="n"/>
      <c r="C423" s="74" t="n"/>
      <c r="D423" s="74" t="n"/>
      <c r="E423" s="74" t="n"/>
      <c r="F423" s="74" t="n"/>
      <c r="G423" s="89" t="n"/>
      <c r="H423" s="79" t="n"/>
      <c r="I423" s="90">
        <f>IF(A423="","",TEXT(A423,"yyyy-mm"))</f>
        <v/>
      </c>
      <c r="J423" s="90">
        <f>IF(D423="","",IF(AND(D423="Ingreso",H423&gt;0),"OK",IF(AND(D423="Gasto",H423&lt;0),"OK","⚠ Revisar signo")))</f>
        <v/>
      </c>
    </row>
    <row r="424" ht="15" customHeight="1" s="59">
      <c r="A424" s="75" t="n"/>
      <c r="B424" s="74" t="n"/>
      <c r="C424" s="74" t="n"/>
      <c r="D424" s="74" t="n"/>
      <c r="E424" s="74" t="n"/>
      <c r="F424" s="74" t="n"/>
      <c r="G424" s="89" t="n"/>
      <c r="H424" s="79" t="n"/>
      <c r="I424" s="90">
        <f>IF(A424="","",TEXT(A424,"yyyy-mm"))</f>
        <v/>
      </c>
      <c r="J424" s="90">
        <f>IF(D424="","",IF(AND(D424="Ingreso",H424&gt;0),"OK",IF(AND(D424="Gasto",H424&lt;0),"OK","⚠ Revisar signo")))</f>
        <v/>
      </c>
    </row>
    <row r="425" ht="15" customHeight="1" s="59">
      <c r="A425" s="75" t="n"/>
      <c r="B425" s="74" t="n"/>
      <c r="C425" s="74" t="n"/>
      <c r="D425" s="74" t="n"/>
      <c r="E425" s="74" t="n"/>
      <c r="F425" s="74" t="n"/>
      <c r="G425" s="89" t="n"/>
      <c r="H425" s="79" t="n"/>
      <c r="I425" s="90">
        <f>IF(A425="","",TEXT(A425,"yyyy-mm"))</f>
        <v/>
      </c>
      <c r="J425" s="90">
        <f>IF(D425="","",IF(AND(D425="Ingreso",H425&gt;0),"OK",IF(AND(D425="Gasto",H425&lt;0),"OK","⚠ Revisar signo")))</f>
        <v/>
      </c>
    </row>
    <row r="426" ht="15" customHeight="1" s="59">
      <c r="A426" s="75" t="n"/>
      <c r="B426" s="74" t="n"/>
      <c r="C426" s="74" t="n"/>
      <c r="D426" s="74" t="n"/>
      <c r="E426" s="74" t="n"/>
      <c r="F426" s="74" t="n"/>
      <c r="G426" s="89" t="n"/>
      <c r="H426" s="79" t="n"/>
      <c r="I426" s="90">
        <f>IF(A426="","",TEXT(A426,"yyyy-mm"))</f>
        <v/>
      </c>
      <c r="J426" s="90">
        <f>IF(D426="","",IF(AND(D426="Ingreso",H426&gt;0),"OK",IF(AND(D426="Gasto",H426&lt;0),"OK","⚠ Revisar signo")))</f>
        <v/>
      </c>
    </row>
    <row r="427" ht="15" customHeight="1" s="59">
      <c r="A427" s="75" t="n"/>
      <c r="B427" s="74" t="n"/>
      <c r="C427" s="74" t="n"/>
      <c r="D427" s="74" t="n"/>
      <c r="E427" s="74" t="n"/>
      <c r="F427" s="74" t="n"/>
      <c r="G427" s="89" t="n"/>
      <c r="H427" s="79" t="n"/>
      <c r="I427" s="90">
        <f>IF(A427="","",TEXT(A427,"yyyy-mm"))</f>
        <v/>
      </c>
      <c r="J427" s="90">
        <f>IF(D427="","",IF(AND(D427="Ingreso",H427&gt;0),"OK",IF(AND(D427="Gasto",H427&lt;0),"OK","⚠ Revisar signo")))</f>
        <v/>
      </c>
    </row>
    <row r="428" ht="15" customHeight="1" s="59">
      <c r="A428" s="75" t="n"/>
      <c r="B428" s="74" t="n"/>
      <c r="C428" s="74" t="n"/>
      <c r="D428" s="74" t="n"/>
      <c r="E428" s="74" t="n"/>
      <c r="F428" s="74" t="n"/>
      <c r="G428" s="89" t="n"/>
      <c r="H428" s="79" t="n"/>
      <c r="I428" s="90">
        <f>IF(A428="","",TEXT(A428,"yyyy-mm"))</f>
        <v/>
      </c>
      <c r="J428" s="90">
        <f>IF(D428="","",IF(AND(D428="Ingreso",H428&gt;0),"OK",IF(AND(D428="Gasto",H428&lt;0),"OK","⚠ Revisar signo")))</f>
        <v/>
      </c>
    </row>
    <row r="429" ht="15" customHeight="1" s="59">
      <c r="A429" s="75" t="n"/>
      <c r="B429" s="74" t="n"/>
      <c r="C429" s="74" t="n"/>
      <c r="D429" s="74" t="n"/>
      <c r="E429" s="74" t="n"/>
      <c r="F429" s="74" t="n"/>
      <c r="G429" s="89" t="n"/>
      <c r="H429" s="79" t="n"/>
      <c r="I429" s="90">
        <f>IF(A429="","",TEXT(A429,"yyyy-mm"))</f>
        <v/>
      </c>
      <c r="J429" s="90">
        <f>IF(D429="","",IF(AND(D429="Ingreso",H429&gt;0),"OK",IF(AND(D429="Gasto",H429&lt;0),"OK","⚠ Revisar signo")))</f>
        <v/>
      </c>
    </row>
    <row r="430" ht="15" customHeight="1" s="59">
      <c r="A430" s="75" t="n"/>
      <c r="B430" s="74" t="n"/>
      <c r="C430" s="74" t="n"/>
      <c r="D430" s="74" t="n"/>
      <c r="E430" s="74" t="n"/>
      <c r="F430" s="74" t="n"/>
      <c r="G430" s="89" t="n"/>
      <c r="H430" s="79" t="n"/>
      <c r="I430" s="90">
        <f>IF(A430="","",TEXT(A430,"yyyy-mm"))</f>
        <v/>
      </c>
      <c r="J430" s="90">
        <f>IF(D430="","",IF(AND(D430="Ingreso",H430&gt;0),"OK",IF(AND(D430="Gasto",H430&lt;0),"OK","⚠ Revisar signo")))</f>
        <v/>
      </c>
    </row>
    <row r="431" ht="15" customHeight="1" s="59">
      <c r="A431" s="75" t="n"/>
      <c r="B431" s="74" t="n"/>
      <c r="C431" s="74" t="n"/>
      <c r="D431" s="74" t="n"/>
      <c r="E431" s="74" t="n"/>
      <c r="F431" s="74" t="n"/>
      <c r="G431" s="89" t="n"/>
      <c r="H431" s="79" t="n"/>
      <c r="I431" s="90">
        <f>IF(A431="","",TEXT(A431,"yyyy-mm"))</f>
        <v/>
      </c>
      <c r="J431" s="90">
        <f>IF(D431="","",IF(AND(D431="Ingreso",H431&gt;0),"OK",IF(AND(D431="Gasto",H431&lt;0),"OK","⚠ Revisar signo")))</f>
        <v/>
      </c>
    </row>
    <row r="432" ht="15" customHeight="1" s="59">
      <c r="A432" s="75" t="n"/>
      <c r="B432" s="74" t="n"/>
      <c r="C432" s="74" t="n"/>
      <c r="D432" s="74" t="n"/>
      <c r="E432" s="74" t="n"/>
      <c r="F432" s="74" t="n"/>
      <c r="G432" s="89" t="n"/>
      <c r="H432" s="79" t="n"/>
      <c r="I432" s="90">
        <f>IF(A432="","",TEXT(A432,"yyyy-mm"))</f>
        <v/>
      </c>
      <c r="J432" s="90">
        <f>IF(D432="","",IF(AND(D432="Ingreso",H432&gt;0),"OK",IF(AND(D432="Gasto",H432&lt;0),"OK","⚠ Revisar signo")))</f>
        <v/>
      </c>
    </row>
    <row r="433" ht="15" customHeight="1" s="59">
      <c r="A433" s="75" t="n"/>
      <c r="B433" s="74" t="n"/>
      <c r="C433" s="74" t="n"/>
      <c r="D433" s="74" t="n"/>
      <c r="E433" s="74" t="n"/>
      <c r="F433" s="74" t="n"/>
      <c r="G433" s="89" t="n"/>
      <c r="H433" s="79" t="n"/>
      <c r="I433" s="90">
        <f>IF(A433="","",TEXT(A433,"yyyy-mm"))</f>
        <v/>
      </c>
      <c r="J433" s="90">
        <f>IF(D433="","",IF(AND(D433="Ingreso",H433&gt;0),"OK",IF(AND(D433="Gasto",H433&lt;0),"OK","⚠ Revisar signo")))</f>
        <v/>
      </c>
    </row>
    <row r="434" ht="15" customHeight="1" s="59">
      <c r="A434" s="75" t="n"/>
      <c r="B434" s="74" t="n"/>
      <c r="C434" s="74" t="n"/>
      <c r="D434" s="74" t="n"/>
      <c r="E434" s="74" t="n"/>
      <c r="F434" s="74" t="n"/>
      <c r="G434" s="89" t="n"/>
      <c r="H434" s="79" t="n"/>
      <c r="I434" s="90">
        <f>IF(A434="","",TEXT(A434,"yyyy-mm"))</f>
        <v/>
      </c>
      <c r="J434" s="90">
        <f>IF(D434="","",IF(AND(D434="Ingreso",H434&gt;0),"OK",IF(AND(D434="Gasto",H434&lt;0),"OK","⚠ Revisar signo")))</f>
        <v/>
      </c>
    </row>
    <row r="435" ht="15" customHeight="1" s="59">
      <c r="A435" s="75" t="n"/>
      <c r="B435" s="74" t="n"/>
      <c r="C435" s="74" t="n"/>
      <c r="D435" s="74" t="n"/>
      <c r="E435" s="74" t="n"/>
      <c r="F435" s="74" t="n"/>
      <c r="G435" s="89" t="n"/>
      <c r="H435" s="79" t="n"/>
      <c r="I435" s="90">
        <f>IF(A435="","",TEXT(A435,"yyyy-mm"))</f>
        <v/>
      </c>
      <c r="J435" s="90">
        <f>IF(D435="","",IF(AND(D435="Ingreso",H435&gt;0),"OK",IF(AND(D435="Gasto",H435&lt;0),"OK","⚠ Revisar signo")))</f>
        <v/>
      </c>
    </row>
    <row r="436" ht="15" customHeight="1" s="59">
      <c r="A436" s="75" t="n"/>
      <c r="B436" s="74" t="n"/>
      <c r="C436" s="74" t="n"/>
      <c r="D436" s="74" t="n"/>
      <c r="E436" s="74" t="n"/>
      <c r="F436" s="74" t="n"/>
      <c r="G436" s="89" t="n"/>
      <c r="H436" s="79" t="n"/>
      <c r="I436" s="90">
        <f>IF(A436="","",TEXT(A436,"yyyy-mm"))</f>
        <v/>
      </c>
      <c r="J436" s="90">
        <f>IF(D436="","",IF(AND(D436="Ingreso",H436&gt;0),"OK",IF(AND(D436="Gasto",H436&lt;0),"OK","⚠ Revisar signo")))</f>
        <v/>
      </c>
    </row>
    <row r="437" ht="15" customHeight="1" s="59">
      <c r="A437" s="75" t="n"/>
      <c r="B437" s="74" t="n"/>
      <c r="C437" s="74" t="n"/>
      <c r="D437" s="74" t="n"/>
      <c r="E437" s="74" t="n"/>
      <c r="F437" s="74" t="n"/>
      <c r="G437" s="89" t="n"/>
      <c r="H437" s="79" t="n"/>
      <c r="I437" s="90">
        <f>IF(A437="","",TEXT(A437,"yyyy-mm"))</f>
        <v/>
      </c>
      <c r="J437" s="90">
        <f>IF(D437="","",IF(AND(D437="Ingreso",H437&gt;0),"OK",IF(AND(D437="Gasto",H437&lt;0),"OK","⚠ Revisar signo")))</f>
        <v/>
      </c>
    </row>
    <row r="438" ht="15" customHeight="1" s="59">
      <c r="A438" s="75" t="n"/>
      <c r="B438" s="74" t="n"/>
      <c r="C438" s="74" t="n"/>
      <c r="D438" s="74" t="n"/>
      <c r="E438" s="74" t="n"/>
      <c r="F438" s="74" t="n"/>
      <c r="G438" s="89" t="n"/>
      <c r="H438" s="79" t="n"/>
      <c r="I438" s="90">
        <f>IF(A438="","",TEXT(A438,"yyyy-mm"))</f>
        <v/>
      </c>
      <c r="J438" s="90">
        <f>IF(D438="","",IF(AND(D438="Ingreso",H438&gt;0),"OK",IF(AND(D438="Gasto",H438&lt;0),"OK","⚠ Revisar signo")))</f>
        <v/>
      </c>
    </row>
    <row r="439" ht="15" customHeight="1" s="59">
      <c r="A439" s="75" t="n"/>
      <c r="B439" s="74" t="n"/>
      <c r="C439" s="74" t="n"/>
      <c r="D439" s="74" t="n"/>
      <c r="E439" s="74" t="n"/>
      <c r="F439" s="74" t="n"/>
      <c r="G439" s="89" t="n"/>
      <c r="H439" s="79" t="n"/>
      <c r="I439" s="90">
        <f>IF(A439="","",TEXT(A439,"yyyy-mm"))</f>
        <v/>
      </c>
      <c r="J439" s="90">
        <f>IF(D439="","",IF(AND(D439="Ingreso",H439&gt;0),"OK",IF(AND(D439="Gasto",H439&lt;0),"OK","⚠ Revisar signo")))</f>
        <v/>
      </c>
    </row>
    <row r="440" ht="15" customHeight="1" s="59">
      <c r="A440" s="75" t="n"/>
      <c r="B440" s="74" t="n"/>
      <c r="C440" s="74" t="n"/>
      <c r="D440" s="74" t="n"/>
      <c r="E440" s="74" t="n"/>
      <c r="F440" s="74" t="n"/>
      <c r="G440" s="89" t="n"/>
      <c r="H440" s="79" t="n"/>
      <c r="I440" s="90">
        <f>IF(A440="","",TEXT(A440,"yyyy-mm"))</f>
        <v/>
      </c>
      <c r="J440" s="90">
        <f>IF(D440="","",IF(AND(D440="Ingreso",H440&gt;0),"OK",IF(AND(D440="Gasto",H440&lt;0),"OK","⚠ Revisar signo")))</f>
        <v/>
      </c>
    </row>
    <row r="441" ht="15" customHeight="1" s="59">
      <c r="A441" s="75" t="n"/>
      <c r="B441" s="74" t="n"/>
      <c r="C441" s="74" t="n"/>
      <c r="D441" s="74" t="n"/>
      <c r="E441" s="74" t="n"/>
      <c r="F441" s="74" t="n"/>
      <c r="G441" s="89" t="n"/>
      <c r="H441" s="79" t="n"/>
      <c r="I441" s="90">
        <f>IF(A441="","",TEXT(A441,"yyyy-mm"))</f>
        <v/>
      </c>
      <c r="J441" s="90">
        <f>IF(D441="","",IF(AND(D441="Ingreso",H441&gt;0),"OK",IF(AND(D441="Gasto",H441&lt;0),"OK","⚠ Revisar signo")))</f>
        <v/>
      </c>
    </row>
    <row r="442" ht="15" customHeight="1" s="59">
      <c r="A442" s="75" t="n"/>
      <c r="B442" s="74" t="n"/>
      <c r="C442" s="74" t="n"/>
      <c r="D442" s="74" t="n"/>
      <c r="E442" s="74" t="n"/>
      <c r="F442" s="74" t="n"/>
      <c r="G442" s="89" t="n"/>
      <c r="H442" s="79" t="n"/>
      <c r="I442" s="90">
        <f>IF(A442="","",TEXT(A442,"yyyy-mm"))</f>
        <v/>
      </c>
      <c r="J442" s="90">
        <f>IF(D442="","",IF(AND(D442="Ingreso",H442&gt;0),"OK",IF(AND(D442="Gasto",H442&lt;0),"OK","⚠ Revisar signo")))</f>
        <v/>
      </c>
    </row>
    <row r="443" ht="15" customHeight="1" s="59">
      <c r="A443" s="75" t="n"/>
      <c r="B443" s="74" t="n"/>
      <c r="C443" s="74" t="n"/>
      <c r="D443" s="74" t="n"/>
      <c r="E443" s="74" t="n"/>
      <c r="F443" s="74" t="n"/>
      <c r="G443" s="89" t="n"/>
      <c r="H443" s="79" t="n"/>
      <c r="I443" s="90">
        <f>IF(A443="","",TEXT(A443,"yyyy-mm"))</f>
        <v/>
      </c>
      <c r="J443" s="90">
        <f>IF(D443="","",IF(AND(D443="Ingreso",H443&gt;0),"OK",IF(AND(D443="Gasto",H443&lt;0),"OK","⚠ Revisar signo")))</f>
        <v/>
      </c>
    </row>
    <row r="444" ht="15" customHeight="1" s="59">
      <c r="A444" s="75" t="n"/>
      <c r="B444" s="74" t="n"/>
      <c r="C444" s="74" t="n"/>
      <c r="D444" s="74" t="n"/>
      <c r="E444" s="74" t="n"/>
      <c r="F444" s="74" t="n"/>
      <c r="G444" s="89" t="n"/>
      <c r="H444" s="79" t="n"/>
      <c r="I444" s="90">
        <f>IF(A444="","",TEXT(A444,"yyyy-mm"))</f>
        <v/>
      </c>
      <c r="J444" s="90">
        <f>IF(D444="","",IF(AND(D444="Ingreso",H444&gt;0),"OK",IF(AND(D444="Gasto",H444&lt;0),"OK","⚠ Revisar signo")))</f>
        <v/>
      </c>
    </row>
    <row r="445" ht="15" customHeight="1" s="59">
      <c r="A445" s="75" t="n"/>
      <c r="B445" s="74" t="n"/>
      <c r="C445" s="74" t="n"/>
      <c r="D445" s="74" t="n"/>
      <c r="E445" s="74" t="n"/>
      <c r="F445" s="74" t="n"/>
      <c r="G445" s="89" t="n"/>
      <c r="H445" s="79" t="n"/>
      <c r="I445" s="90">
        <f>IF(A445="","",TEXT(A445,"yyyy-mm"))</f>
        <v/>
      </c>
      <c r="J445" s="90">
        <f>IF(D445="","",IF(AND(D445="Ingreso",H445&gt;0),"OK",IF(AND(D445="Gasto",H445&lt;0),"OK","⚠ Revisar signo")))</f>
        <v/>
      </c>
    </row>
    <row r="446" ht="15" customHeight="1" s="59">
      <c r="A446" s="75" t="n"/>
      <c r="B446" s="74" t="n"/>
      <c r="C446" s="74" t="n"/>
      <c r="D446" s="74" t="n"/>
      <c r="E446" s="74" t="n"/>
      <c r="F446" s="74" t="n"/>
      <c r="G446" s="89" t="n"/>
      <c r="H446" s="79" t="n"/>
      <c r="I446" s="90">
        <f>IF(A446="","",TEXT(A446,"yyyy-mm"))</f>
        <v/>
      </c>
      <c r="J446" s="90">
        <f>IF(D446="","",IF(AND(D446="Ingreso",H446&gt;0),"OK",IF(AND(D446="Gasto",H446&lt;0),"OK","⚠ Revisar signo")))</f>
        <v/>
      </c>
    </row>
    <row r="447" ht="15" customHeight="1" s="59">
      <c r="A447" s="75" t="n"/>
      <c r="B447" s="74" t="n"/>
      <c r="C447" s="74" t="n"/>
      <c r="D447" s="74" t="n"/>
      <c r="E447" s="74" t="n"/>
      <c r="F447" s="74" t="n"/>
      <c r="G447" s="89" t="n"/>
      <c r="H447" s="79" t="n"/>
      <c r="I447" s="90">
        <f>IF(A447="","",TEXT(A447,"yyyy-mm"))</f>
        <v/>
      </c>
      <c r="J447" s="90">
        <f>IF(D447="","",IF(AND(D447="Ingreso",H447&gt;0),"OK",IF(AND(D447="Gasto",H447&lt;0),"OK","⚠ Revisar signo")))</f>
        <v/>
      </c>
    </row>
    <row r="448" ht="15" customHeight="1" s="59">
      <c r="A448" s="75" t="n"/>
      <c r="B448" s="74" t="n"/>
      <c r="C448" s="74" t="n"/>
      <c r="D448" s="74" t="n"/>
      <c r="E448" s="74" t="n"/>
      <c r="F448" s="74" t="n"/>
      <c r="G448" s="89" t="n"/>
      <c r="H448" s="79" t="n"/>
      <c r="I448" s="90">
        <f>IF(A448="","",TEXT(A448,"yyyy-mm"))</f>
        <v/>
      </c>
      <c r="J448" s="90">
        <f>IF(D448="","",IF(AND(D448="Ingreso",H448&gt;0),"OK",IF(AND(D448="Gasto",H448&lt;0),"OK","⚠ Revisar signo")))</f>
        <v/>
      </c>
    </row>
    <row r="449" ht="15" customHeight="1" s="59">
      <c r="A449" s="75" t="n"/>
      <c r="B449" s="74" t="n"/>
      <c r="C449" s="74" t="n"/>
      <c r="D449" s="74" t="n"/>
      <c r="E449" s="74" t="n"/>
      <c r="F449" s="74" t="n"/>
      <c r="G449" s="89" t="n"/>
      <c r="H449" s="79" t="n"/>
      <c r="I449" s="90">
        <f>IF(A449="","",TEXT(A449,"yyyy-mm"))</f>
        <v/>
      </c>
      <c r="J449" s="90">
        <f>IF(D449="","",IF(AND(D449="Ingreso",H449&gt;0),"OK",IF(AND(D449="Gasto",H449&lt;0),"OK","⚠ Revisar signo")))</f>
        <v/>
      </c>
    </row>
    <row r="450" ht="15" customHeight="1" s="59">
      <c r="A450" s="75" t="n"/>
      <c r="B450" s="74" t="n"/>
      <c r="C450" s="74" t="n"/>
      <c r="D450" s="74" t="n"/>
      <c r="E450" s="74" t="n"/>
      <c r="F450" s="74" t="n"/>
      <c r="G450" s="89" t="n"/>
      <c r="H450" s="79" t="n"/>
      <c r="I450" s="90">
        <f>IF(A450="","",TEXT(A450,"yyyy-mm"))</f>
        <v/>
      </c>
      <c r="J450" s="90">
        <f>IF(D450="","",IF(AND(D450="Ingreso",H450&gt;0),"OK",IF(AND(D450="Gasto",H450&lt;0),"OK","⚠ Revisar signo")))</f>
        <v/>
      </c>
    </row>
    <row r="451" ht="15" customHeight="1" s="59">
      <c r="A451" s="75" t="n"/>
      <c r="B451" s="74" t="n"/>
      <c r="C451" s="74" t="n"/>
      <c r="D451" s="74" t="n"/>
      <c r="E451" s="74" t="n"/>
      <c r="F451" s="74" t="n"/>
      <c r="G451" s="89" t="n"/>
      <c r="H451" s="79" t="n"/>
      <c r="I451" s="90">
        <f>IF(A451="","",TEXT(A451,"yyyy-mm"))</f>
        <v/>
      </c>
      <c r="J451" s="90">
        <f>IF(D451="","",IF(AND(D451="Ingreso",H451&gt;0),"OK",IF(AND(D451="Gasto",H451&lt;0),"OK","⚠ Revisar signo")))</f>
        <v/>
      </c>
    </row>
    <row r="452" ht="15" customHeight="1" s="59">
      <c r="A452" s="75" t="n"/>
      <c r="B452" s="74" t="n"/>
      <c r="C452" s="74" t="n"/>
      <c r="D452" s="74" t="n"/>
      <c r="E452" s="74" t="n"/>
      <c r="F452" s="74" t="n"/>
      <c r="G452" s="89" t="n"/>
      <c r="H452" s="79" t="n"/>
      <c r="I452" s="90">
        <f>IF(A452="","",TEXT(A452,"yyyy-mm"))</f>
        <v/>
      </c>
      <c r="J452" s="90">
        <f>IF(D452="","",IF(AND(D452="Ingreso",H452&gt;0),"OK",IF(AND(D452="Gasto",H452&lt;0),"OK","⚠ Revisar signo")))</f>
        <v/>
      </c>
    </row>
    <row r="453" ht="15" customHeight="1" s="59">
      <c r="A453" s="75" t="n"/>
      <c r="B453" s="74" t="n"/>
      <c r="C453" s="74" t="n"/>
      <c r="D453" s="74" t="n"/>
      <c r="E453" s="74" t="n"/>
      <c r="F453" s="74" t="n"/>
      <c r="G453" s="89" t="n"/>
      <c r="H453" s="79" t="n"/>
      <c r="I453" s="90">
        <f>IF(A453="","",TEXT(A453,"yyyy-mm"))</f>
        <v/>
      </c>
      <c r="J453" s="90">
        <f>IF(D453="","",IF(AND(D453="Ingreso",H453&gt;0),"OK",IF(AND(D453="Gasto",H453&lt;0),"OK","⚠ Revisar signo")))</f>
        <v/>
      </c>
    </row>
    <row r="454" ht="15" customHeight="1" s="59">
      <c r="A454" s="75" t="n"/>
      <c r="B454" s="74" t="n"/>
      <c r="C454" s="74" t="n"/>
      <c r="D454" s="74" t="n"/>
      <c r="E454" s="74" t="n"/>
      <c r="F454" s="74" t="n"/>
      <c r="G454" s="89" t="n"/>
      <c r="H454" s="79" t="n"/>
      <c r="I454" s="90">
        <f>IF(A454="","",TEXT(A454,"yyyy-mm"))</f>
        <v/>
      </c>
      <c r="J454" s="90">
        <f>IF(D454="","",IF(AND(D454="Ingreso",H454&gt;0),"OK",IF(AND(D454="Gasto",H454&lt;0),"OK","⚠ Revisar signo")))</f>
        <v/>
      </c>
    </row>
    <row r="455" ht="15" customHeight="1" s="59">
      <c r="A455" s="75" t="n"/>
      <c r="B455" s="74" t="n"/>
      <c r="C455" s="74" t="n"/>
      <c r="D455" s="74" t="n"/>
      <c r="E455" s="74" t="n"/>
      <c r="F455" s="74" t="n"/>
      <c r="G455" s="89" t="n"/>
      <c r="H455" s="79" t="n"/>
      <c r="I455" s="90">
        <f>IF(A455="","",TEXT(A455,"yyyy-mm"))</f>
        <v/>
      </c>
      <c r="J455" s="90">
        <f>IF(D455="","",IF(AND(D455="Ingreso",H455&gt;0),"OK",IF(AND(D455="Gasto",H455&lt;0),"OK","⚠ Revisar signo")))</f>
        <v/>
      </c>
    </row>
    <row r="456" ht="15" customHeight="1" s="59">
      <c r="A456" s="75" t="n"/>
      <c r="B456" s="74" t="n"/>
      <c r="C456" s="74" t="n"/>
      <c r="D456" s="74" t="n"/>
      <c r="E456" s="74" t="n"/>
      <c r="F456" s="74" t="n"/>
      <c r="G456" s="89" t="n"/>
      <c r="H456" s="79" t="n"/>
      <c r="I456" s="90">
        <f>IF(A456="","",TEXT(A456,"yyyy-mm"))</f>
        <v/>
      </c>
      <c r="J456" s="90">
        <f>IF(D456="","",IF(AND(D456="Ingreso",H456&gt;0),"OK",IF(AND(D456="Gasto",H456&lt;0),"OK","⚠ Revisar signo")))</f>
        <v/>
      </c>
    </row>
    <row r="457" ht="15" customHeight="1" s="59">
      <c r="A457" s="75" t="n"/>
      <c r="B457" s="74" t="n"/>
      <c r="C457" s="74" t="n"/>
      <c r="D457" s="74" t="n"/>
      <c r="E457" s="74" t="n"/>
      <c r="F457" s="74" t="n"/>
      <c r="G457" s="89" t="n"/>
      <c r="H457" s="79" t="n"/>
      <c r="I457" s="90">
        <f>IF(A457="","",TEXT(A457,"yyyy-mm"))</f>
        <v/>
      </c>
      <c r="J457" s="90">
        <f>IF(D457="","",IF(AND(D457="Ingreso",H457&gt;0),"OK",IF(AND(D457="Gasto",H457&lt;0),"OK","⚠ Revisar signo")))</f>
        <v/>
      </c>
    </row>
    <row r="458" ht="15" customHeight="1" s="59">
      <c r="A458" s="75" t="n"/>
      <c r="B458" s="74" t="n"/>
      <c r="C458" s="74" t="n"/>
      <c r="D458" s="74" t="n"/>
      <c r="E458" s="74" t="n"/>
      <c r="F458" s="74" t="n"/>
      <c r="G458" s="89" t="n"/>
      <c r="H458" s="79" t="n"/>
      <c r="I458" s="90">
        <f>IF(A458="","",TEXT(A458,"yyyy-mm"))</f>
        <v/>
      </c>
      <c r="J458" s="90">
        <f>IF(D458="","",IF(AND(D458="Ingreso",H458&gt;0),"OK",IF(AND(D458="Gasto",H458&lt;0),"OK","⚠ Revisar signo")))</f>
        <v/>
      </c>
    </row>
    <row r="459" ht="15" customHeight="1" s="59">
      <c r="A459" s="75" t="n"/>
      <c r="B459" s="74" t="n"/>
      <c r="C459" s="74" t="n"/>
      <c r="D459" s="74" t="n"/>
      <c r="E459" s="74" t="n"/>
      <c r="F459" s="74" t="n"/>
      <c r="G459" s="89" t="n"/>
      <c r="H459" s="79" t="n"/>
      <c r="I459" s="90">
        <f>IF(A459="","",TEXT(A459,"yyyy-mm"))</f>
        <v/>
      </c>
      <c r="J459" s="90">
        <f>IF(D459="","",IF(AND(D459="Ingreso",H459&gt;0),"OK",IF(AND(D459="Gasto",H459&lt;0),"OK","⚠ Revisar signo")))</f>
        <v/>
      </c>
    </row>
    <row r="460" ht="15" customHeight="1" s="59">
      <c r="A460" s="75" t="n"/>
      <c r="B460" s="74" t="n"/>
      <c r="C460" s="74" t="n"/>
      <c r="D460" s="74" t="n"/>
      <c r="E460" s="74" t="n"/>
      <c r="F460" s="74" t="n"/>
      <c r="G460" s="89" t="n"/>
      <c r="H460" s="79" t="n"/>
      <c r="I460" s="90">
        <f>IF(A460="","",TEXT(A460,"yyyy-mm"))</f>
        <v/>
      </c>
      <c r="J460" s="90">
        <f>IF(D460="","",IF(AND(D460="Ingreso",H460&gt;0),"OK",IF(AND(D460="Gasto",H460&lt;0),"OK","⚠ Revisar signo")))</f>
        <v/>
      </c>
    </row>
    <row r="461" ht="15" customHeight="1" s="59">
      <c r="A461" s="75" t="n"/>
      <c r="B461" s="74" t="n"/>
      <c r="C461" s="74" t="n"/>
      <c r="D461" s="74" t="n"/>
      <c r="E461" s="74" t="n"/>
      <c r="F461" s="74" t="n"/>
      <c r="G461" s="89" t="n"/>
      <c r="H461" s="79" t="n"/>
      <c r="I461" s="90">
        <f>IF(A461="","",TEXT(A461,"yyyy-mm"))</f>
        <v/>
      </c>
      <c r="J461" s="90">
        <f>IF(D461="","",IF(AND(D461="Ingreso",H461&gt;0),"OK",IF(AND(D461="Gasto",H461&lt;0),"OK","⚠ Revisar signo")))</f>
        <v/>
      </c>
    </row>
    <row r="462" ht="15" customHeight="1" s="59">
      <c r="A462" s="75" t="n"/>
      <c r="B462" s="74" t="n"/>
      <c r="C462" s="74" t="n"/>
      <c r="D462" s="74" t="n"/>
      <c r="E462" s="74" t="n"/>
      <c r="F462" s="74" t="n"/>
      <c r="G462" s="89" t="n"/>
      <c r="H462" s="79" t="n"/>
      <c r="I462" s="90">
        <f>IF(A462="","",TEXT(A462,"yyyy-mm"))</f>
        <v/>
      </c>
      <c r="J462" s="90">
        <f>IF(D462="","",IF(AND(D462="Ingreso",H462&gt;0),"OK",IF(AND(D462="Gasto",H462&lt;0),"OK","⚠ Revisar signo")))</f>
        <v/>
      </c>
    </row>
    <row r="463" ht="15" customHeight="1" s="59">
      <c r="A463" s="75" t="n"/>
      <c r="B463" s="74" t="n"/>
      <c r="C463" s="74" t="n"/>
      <c r="D463" s="74" t="n"/>
      <c r="E463" s="74" t="n"/>
      <c r="F463" s="74" t="n"/>
      <c r="G463" s="89" t="n"/>
      <c r="H463" s="79" t="n"/>
      <c r="I463" s="90">
        <f>IF(A463="","",TEXT(A463,"yyyy-mm"))</f>
        <v/>
      </c>
      <c r="J463" s="90">
        <f>IF(D463="","",IF(AND(D463="Ingreso",H463&gt;0),"OK",IF(AND(D463="Gasto",H463&lt;0),"OK","⚠ Revisar signo")))</f>
        <v/>
      </c>
    </row>
    <row r="464" ht="15" customHeight="1" s="59">
      <c r="A464" s="75" t="n"/>
      <c r="B464" s="74" t="n"/>
      <c r="C464" s="74" t="n"/>
      <c r="D464" s="74" t="n"/>
      <c r="E464" s="74" t="n"/>
      <c r="F464" s="74" t="n"/>
      <c r="G464" s="89" t="n"/>
      <c r="H464" s="79" t="n"/>
      <c r="I464" s="90">
        <f>IF(A464="","",TEXT(A464,"yyyy-mm"))</f>
        <v/>
      </c>
      <c r="J464" s="90">
        <f>IF(D464="","",IF(AND(D464="Ingreso",H464&gt;0),"OK",IF(AND(D464="Gasto",H464&lt;0),"OK","⚠ Revisar signo")))</f>
        <v/>
      </c>
    </row>
    <row r="465" ht="15" customHeight="1" s="59">
      <c r="A465" s="75" t="n"/>
      <c r="B465" s="74" t="n"/>
      <c r="C465" s="74" t="n"/>
      <c r="D465" s="74" t="n"/>
      <c r="E465" s="74" t="n"/>
      <c r="F465" s="74" t="n"/>
      <c r="G465" s="89" t="n"/>
      <c r="H465" s="79" t="n"/>
      <c r="I465" s="90">
        <f>IF(A465="","",TEXT(A465,"yyyy-mm"))</f>
        <v/>
      </c>
      <c r="J465" s="90">
        <f>IF(D465="","",IF(AND(D465="Ingreso",H465&gt;0),"OK",IF(AND(D465="Gasto",H465&lt;0),"OK","⚠ Revisar signo")))</f>
        <v/>
      </c>
    </row>
    <row r="466" ht="15" customHeight="1" s="59">
      <c r="A466" s="75" t="n"/>
      <c r="B466" s="74" t="n"/>
      <c r="C466" s="74" t="n"/>
      <c r="D466" s="74" t="n"/>
      <c r="E466" s="74" t="n"/>
      <c r="F466" s="74" t="n"/>
      <c r="G466" s="89" t="n"/>
      <c r="H466" s="79" t="n"/>
      <c r="I466" s="90">
        <f>IF(A466="","",TEXT(A466,"yyyy-mm"))</f>
        <v/>
      </c>
      <c r="J466" s="90">
        <f>IF(D466="","",IF(AND(D466="Ingreso",H466&gt;0),"OK",IF(AND(D466="Gasto",H466&lt;0),"OK","⚠ Revisar signo")))</f>
        <v/>
      </c>
    </row>
    <row r="467" ht="15" customHeight="1" s="59">
      <c r="A467" s="75" t="n"/>
      <c r="B467" s="74" t="n"/>
      <c r="C467" s="74" t="n"/>
      <c r="D467" s="74" t="n"/>
      <c r="E467" s="74" t="n"/>
      <c r="F467" s="74" t="n"/>
      <c r="G467" s="89" t="n"/>
      <c r="H467" s="79" t="n"/>
      <c r="I467" s="90">
        <f>IF(A467="","",TEXT(A467,"yyyy-mm"))</f>
        <v/>
      </c>
      <c r="J467" s="90">
        <f>IF(D467="","",IF(AND(D467="Ingreso",H467&gt;0),"OK",IF(AND(D467="Gasto",H467&lt;0),"OK","⚠ Revisar signo")))</f>
        <v/>
      </c>
    </row>
    <row r="468" ht="15" customHeight="1" s="59">
      <c r="A468" s="75" t="n"/>
      <c r="B468" s="74" t="n"/>
      <c r="C468" s="74" t="n"/>
      <c r="D468" s="74" t="n"/>
      <c r="E468" s="74" t="n"/>
      <c r="F468" s="74" t="n"/>
      <c r="G468" s="89" t="n"/>
      <c r="H468" s="79" t="n"/>
      <c r="I468" s="90">
        <f>IF(A468="","",TEXT(A468,"yyyy-mm"))</f>
        <v/>
      </c>
      <c r="J468" s="90">
        <f>IF(D468="","",IF(AND(D468="Ingreso",H468&gt;0),"OK",IF(AND(D468="Gasto",H468&lt;0),"OK","⚠ Revisar signo")))</f>
        <v/>
      </c>
    </row>
    <row r="469" ht="15" customHeight="1" s="59">
      <c r="A469" s="75" t="n"/>
      <c r="B469" s="74" t="n"/>
      <c r="C469" s="74" t="n"/>
      <c r="D469" s="74" t="n"/>
      <c r="E469" s="74" t="n"/>
      <c r="F469" s="74" t="n"/>
      <c r="G469" s="89" t="n"/>
      <c r="H469" s="79" t="n"/>
      <c r="I469" s="90">
        <f>IF(A469="","",TEXT(A469,"yyyy-mm"))</f>
        <v/>
      </c>
      <c r="J469" s="90">
        <f>IF(D469="","",IF(AND(D469="Ingreso",H469&gt;0),"OK",IF(AND(D469="Gasto",H469&lt;0),"OK","⚠ Revisar signo")))</f>
        <v/>
      </c>
    </row>
    <row r="470" ht="15" customHeight="1" s="59">
      <c r="A470" s="75" t="n"/>
      <c r="B470" s="74" t="n"/>
      <c r="C470" s="74" t="n"/>
      <c r="D470" s="74" t="n"/>
      <c r="E470" s="74" t="n"/>
      <c r="F470" s="74" t="n"/>
      <c r="G470" s="89" t="n"/>
      <c r="H470" s="79" t="n"/>
      <c r="I470" s="90">
        <f>IF(A470="","",TEXT(A470,"yyyy-mm"))</f>
        <v/>
      </c>
      <c r="J470" s="90">
        <f>IF(D470="","",IF(AND(D470="Ingreso",H470&gt;0),"OK",IF(AND(D470="Gasto",H470&lt;0),"OK","⚠ Revisar signo")))</f>
        <v/>
      </c>
    </row>
    <row r="471" ht="15" customHeight="1" s="59">
      <c r="A471" s="75" t="n"/>
      <c r="B471" s="74" t="n"/>
      <c r="C471" s="74" t="n"/>
      <c r="D471" s="74" t="n"/>
      <c r="E471" s="74" t="n"/>
      <c r="F471" s="74" t="n"/>
      <c r="G471" s="89" t="n"/>
      <c r="H471" s="79" t="n"/>
      <c r="I471" s="90">
        <f>IF(A471="","",TEXT(A471,"yyyy-mm"))</f>
        <v/>
      </c>
      <c r="J471" s="90">
        <f>IF(D471="","",IF(AND(D471="Ingreso",H471&gt;0),"OK",IF(AND(D471="Gasto",H471&lt;0),"OK","⚠ Revisar signo")))</f>
        <v/>
      </c>
    </row>
    <row r="472" ht="15" customHeight="1" s="59">
      <c r="A472" s="75" t="n"/>
      <c r="B472" s="74" t="n"/>
      <c r="C472" s="74" t="n"/>
      <c r="D472" s="74" t="n"/>
      <c r="E472" s="74" t="n"/>
      <c r="F472" s="74" t="n"/>
      <c r="G472" s="89" t="n"/>
      <c r="H472" s="79" t="n"/>
      <c r="I472" s="90">
        <f>IF(A472="","",TEXT(A472,"yyyy-mm"))</f>
        <v/>
      </c>
      <c r="J472" s="90">
        <f>IF(D472="","",IF(AND(D472="Ingreso",H472&gt;0),"OK",IF(AND(D472="Gasto",H472&lt;0),"OK","⚠ Revisar signo")))</f>
        <v/>
      </c>
    </row>
    <row r="473" ht="15" customHeight="1" s="59">
      <c r="A473" s="75" t="n"/>
      <c r="B473" s="74" t="n"/>
      <c r="C473" s="74" t="n"/>
      <c r="D473" s="74" t="n"/>
      <c r="E473" s="74" t="n"/>
      <c r="F473" s="74" t="n"/>
      <c r="G473" s="89" t="n"/>
      <c r="H473" s="79" t="n"/>
      <c r="I473" s="90">
        <f>IF(A473="","",TEXT(A473,"yyyy-mm"))</f>
        <v/>
      </c>
      <c r="J473" s="90">
        <f>IF(D473="","",IF(AND(D473="Ingreso",H473&gt;0),"OK",IF(AND(D473="Gasto",H473&lt;0),"OK","⚠ Revisar signo")))</f>
        <v/>
      </c>
    </row>
    <row r="474" ht="15" customHeight="1" s="59">
      <c r="A474" s="75" t="n"/>
      <c r="B474" s="74" t="n"/>
      <c r="C474" s="74" t="n"/>
      <c r="D474" s="74" t="n"/>
      <c r="E474" s="74" t="n"/>
      <c r="F474" s="74" t="n"/>
      <c r="G474" s="89" t="n"/>
      <c r="H474" s="79" t="n"/>
      <c r="I474" s="90">
        <f>IF(A474="","",TEXT(A474,"yyyy-mm"))</f>
        <v/>
      </c>
      <c r="J474" s="90">
        <f>IF(D474="","",IF(AND(D474="Ingreso",H474&gt;0),"OK",IF(AND(D474="Gasto",H474&lt;0),"OK","⚠ Revisar signo")))</f>
        <v/>
      </c>
    </row>
    <row r="475" ht="15" customHeight="1" s="59">
      <c r="A475" s="75" t="n"/>
      <c r="B475" s="74" t="n"/>
      <c r="C475" s="74" t="n"/>
      <c r="D475" s="74" t="n"/>
      <c r="E475" s="74" t="n"/>
      <c r="F475" s="74" t="n"/>
      <c r="G475" s="89" t="n"/>
      <c r="H475" s="79" t="n"/>
      <c r="I475" s="90">
        <f>IF(A475="","",TEXT(A475,"yyyy-mm"))</f>
        <v/>
      </c>
      <c r="J475" s="90">
        <f>IF(D475="","",IF(AND(D475="Ingreso",H475&gt;0),"OK",IF(AND(D475="Gasto",H475&lt;0),"OK","⚠ Revisar signo")))</f>
        <v/>
      </c>
    </row>
    <row r="476" ht="15" customHeight="1" s="59">
      <c r="A476" s="75" t="n"/>
      <c r="B476" s="74" t="n"/>
      <c r="C476" s="74" t="n"/>
      <c r="D476" s="74" t="n"/>
      <c r="E476" s="74" t="n"/>
      <c r="F476" s="74" t="n"/>
      <c r="G476" s="89" t="n"/>
      <c r="H476" s="79" t="n"/>
      <c r="I476" s="90">
        <f>IF(A476="","",TEXT(A476,"yyyy-mm"))</f>
        <v/>
      </c>
      <c r="J476" s="90">
        <f>IF(D476="","",IF(AND(D476="Ingreso",H476&gt;0),"OK",IF(AND(D476="Gasto",H476&lt;0),"OK","⚠ Revisar signo")))</f>
        <v/>
      </c>
    </row>
    <row r="477" ht="15" customHeight="1" s="59">
      <c r="A477" s="75" t="n"/>
      <c r="B477" s="74" t="n"/>
      <c r="C477" s="74" t="n"/>
      <c r="D477" s="74" t="n"/>
      <c r="E477" s="74" t="n"/>
      <c r="F477" s="74" t="n"/>
      <c r="G477" s="89" t="n"/>
      <c r="H477" s="79" t="n"/>
      <c r="I477" s="90">
        <f>IF(A477="","",TEXT(A477,"yyyy-mm"))</f>
        <v/>
      </c>
      <c r="J477" s="90">
        <f>IF(D477="","",IF(AND(D477="Ingreso",H477&gt;0),"OK",IF(AND(D477="Gasto",H477&lt;0),"OK","⚠ Revisar signo")))</f>
        <v/>
      </c>
    </row>
    <row r="478" ht="15" customHeight="1" s="59">
      <c r="A478" s="75" t="n"/>
      <c r="B478" s="74" t="n"/>
      <c r="C478" s="74" t="n"/>
      <c r="D478" s="74" t="n"/>
      <c r="E478" s="74" t="n"/>
      <c r="F478" s="74" t="n"/>
      <c r="G478" s="89" t="n"/>
      <c r="H478" s="79" t="n"/>
      <c r="I478" s="90">
        <f>IF(A478="","",TEXT(A478,"yyyy-mm"))</f>
        <v/>
      </c>
      <c r="J478" s="90">
        <f>IF(D478="","",IF(AND(D478="Ingreso",H478&gt;0),"OK",IF(AND(D478="Gasto",H478&lt;0),"OK","⚠ Revisar signo")))</f>
        <v/>
      </c>
    </row>
    <row r="479" ht="15" customHeight="1" s="59">
      <c r="A479" s="75" t="n"/>
      <c r="B479" s="74" t="n"/>
      <c r="C479" s="74" t="n"/>
      <c r="D479" s="74" t="n"/>
      <c r="E479" s="74" t="n"/>
      <c r="F479" s="74" t="n"/>
      <c r="G479" s="89" t="n"/>
      <c r="H479" s="79" t="n"/>
      <c r="I479" s="90">
        <f>IF(A479="","",TEXT(A479,"yyyy-mm"))</f>
        <v/>
      </c>
      <c r="J479" s="90">
        <f>IF(D479="","",IF(AND(D479="Ingreso",H479&gt;0),"OK",IF(AND(D479="Gasto",H479&lt;0),"OK","⚠ Revisar signo")))</f>
        <v/>
      </c>
    </row>
    <row r="480" ht="15" customHeight="1" s="59">
      <c r="A480" s="75" t="n"/>
      <c r="B480" s="74" t="n"/>
      <c r="C480" s="74" t="n"/>
      <c r="D480" s="74" t="n"/>
      <c r="E480" s="74" t="n"/>
      <c r="F480" s="74" t="n"/>
      <c r="G480" s="89" t="n"/>
      <c r="H480" s="79" t="n"/>
      <c r="I480" s="90">
        <f>IF(A480="","",TEXT(A480,"yyyy-mm"))</f>
        <v/>
      </c>
      <c r="J480" s="90">
        <f>IF(D480="","",IF(AND(D480="Ingreso",H480&gt;0),"OK",IF(AND(D480="Gasto",H480&lt;0),"OK","⚠ Revisar signo")))</f>
        <v/>
      </c>
    </row>
    <row r="481" ht="15" customHeight="1" s="59">
      <c r="A481" s="75" t="n"/>
      <c r="B481" s="74" t="n"/>
      <c r="C481" s="74" t="n"/>
      <c r="D481" s="74" t="n"/>
      <c r="E481" s="74" t="n"/>
      <c r="F481" s="74" t="n"/>
      <c r="G481" s="89" t="n"/>
      <c r="H481" s="79" t="n"/>
      <c r="I481" s="90">
        <f>IF(A481="","",TEXT(A481,"yyyy-mm"))</f>
        <v/>
      </c>
      <c r="J481" s="90">
        <f>IF(D481="","",IF(AND(D481="Ingreso",H481&gt;0),"OK",IF(AND(D481="Gasto",H481&lt;0),"OK","⚠ Revisar signo")))</f>
        <v/>
      </c>
    </row>
    <row r="482" ht="15" customHeight="1" s="59">
      <c r="A482" s="75" t="n"/>
      <c r="B482" s="74" t="n"/>
      <c r="C482" s="74" t="n"/>
      <c r="D482" s="74" t="n"/>
      <c r="E482" s="74" t="n"/>
      <c r="F482" s="74" t="n"/>
      <c r="G482" s="89" t="n"/>
      <c r="H482" s="79" t="n"/>
      <c r="I482" s="90">
        <f>IF(A482="","",TEXT(A482,"yyyy-mm"))</f>
        <v/>
      </c>
      <c r="J482" s="90">
        <f>IF(D482="","",IF(AND(D482="Ingreso",H482&gt;0),"OK",IF(AND(D482="Gasto",H482&lt;0),"OK","⚠ Revisar signo")))</f>
        <v/>
      </c>
    </row>
    <row r="483" ht="15" customHeight="1" s="59">
      <c r="A483" s="75" t="n"/>
      <c r="B483" s="74" t="n"/>
      <c r="C483" s="74" t="n"/>
      <c r="D483" s="74" t="n"/>
      <c r="E483" s="74" t="n"/>
      <c r="F483" s="74" t="n"/>
      <c r="G483" s="89" t="n"/>
      <c r="H483" s="79" t="n"/>
      <c r="I483" s="90">
        <f>IF(A483="","",TEXT(A483,"yyyy-mm"))</f>
        <v/>
      </c>
      <c r="J483" s="90">
        <f>IF(D483="","",IF(AND(D483="Ingreso",H483&gt;0),"OK",IF(AND(D483="Gasto",H483&lt;0),"OK","⚠ Revisar signo")))</f>
        <v/>
      </c>
    </row>
    <row r="484" ht="15" customHeight="1" s="59">
      <c r="A484" s="75" t="n"/>
      <c r="B484" s="74" t="n"/>
      <c r="C484" s="74" t="n"/>
      <c r="D484" s="74" t="n"/>
      <c r="E484" s="74" t="n"/>
      <c r="F484" s="74" t="n"/>
      <c r="G484" s="89" t="n"/>
      <c r="H484" s="79" t="n"/>
      <c r="I484" s="90">
        <f>IF(A484="","",TEXT(A484,"yyyy-mm"))</f>
        <v/>
      </c>
      <c r="J484" s="90">
        <f>IF(D484="","",IF(AND(D484="Ingreso",H484&gt;0),"OK",IF(AND(D484="Gasto",H484&lt;0),"OK","⚠ Revisar signo")))</f>
        <v/>
      </c>
    </row>
    <row r="485" ht="15" customHeight="1" s="59">
      <c r="A485" s="75" t="n"/>
      <c r="B485" s="74" t="n"/>
      <c r="C485" s="74" t="n"/>
      <c r="D485" s="74" t="n"/>
      <c r="E485" s="74" t="n"/>
      <c r="F485" s="74" t="n"/>
      <c r="G485" s="89" t="n"/>
      <c r="H485" s="79" t="n"/>
      <c r="I485" s="90">
        <f>IF(A485="","",TEXT(A485,"yyyy-mm"))</f>
        <v/>
      </c>
      <c r="J485" s="90">
        <f>IF(D485="","",IF(AND(D485="Ingreso",H485&gt;0),"OK",IF(AND(D485="Gasto",H485&lt;0),"OK","⚠ Revisar signo")))</f>
        <v/>
      </c>
    </row>
    <row r="486" ht="15" customHeight="1" s="59">
      <c r="A486" s="75" t="n"/>
      <c r="B486" s="74" t="n"/>
      <c r="C486" s="74" t="n"/>
      <c r="D486" s="74" t="n"/>
      <c r="E486" s="74" t="n"/>
      <c r="F486" s="74" t="n"/>
      <c r="G486" s="89" t="n"/>
      <c r="H486" s="79" t="n"/>
      <c r="I486" s="90">
        <f>IF(A486="","",TEXT(A486,"yyyy-mm"))</f>
        <v/>
      </c>
      <c r="J486" s="90">
        <f>IF(D486="","",IF(AND(D486="Ingreso",H486&gt;0),"OK",IF(AND(D486="Gasto",H486&lt;0),"OK","⚠ Revisar signo")))</f>
        <v/>
      </c>
    </row>
    <row r="487" ht="15" customHeight="1" s="59">
      <c r="A487" s="75" t="n"/>
      <c r="B487" s="74" t="n"/>
      <c r="C487" s="74" t="n"/>
      <c r="D487" s="74" t="n"/>
      <c r="E487" s="74" t="n"/>
      <c r="F487" s="74" t="n"/>
      <c r="G487" s="89" t="n"/>
      <c r="H487" s="79" t="n"/>
      <c r="I487" s="90">
        <f>IF(A487="","",TEXT(A487,"yyyy-mm"))</f>
        <v/>
      </c>
      <c r="J487" s="90">
        <f>IF(D487="","",IF(AND(D487="Ingreso",H487&gt;0),"OK",IF(AND(D487="Gasto",H487&lt;0),"OK","⚠ Revisar signo")))</f>
        <v/>
      </c>
    </row>
    <row r="488" ht="15" customHeight="1" s="59">
      <c r="A488" s="75" t="n"/>
      <c r="B488" s="74" t="n"/>
      <c r="C488" s="74" t="n"/>
      <c r="D488" s="74" t="n"/>
      <c r="E488" s="74" t="n"/>
      <c r="F488" s="74" t="n"/>
      <c r="G488" s="89" t="n"/>
      <c r="H488" s="79" t="n"/>
      <c r="I488" s="90">
        <f>IF(A488="","",TEXT(A488,"yyyy-mm"))</f>
        <v/>
      </c>
      <c r="J488" s="90">
        <f>IF(D488="","",IF(AND(D488="Ingreso",H488&gt;0),"OK",IF(AND(D488="Gasto",H488&lt;0),"OK","⚠ Revisar signo")))</f>
        <v/>
      </c>
    </row>
    <row r="489" ht="15" customHeight="1" s="59">
      <c r="A489" s="75" t="n"/>
      <c r="B489" s="74" t="n"/>
      <c r="C489" s="74" t="n"/>
      <c r="D489" s="74" t="n"/>
      <c r="E489" s="74" t="n"/>
      <c r="F489" s="74" t="n"/>
      <c r="G489" s="89" t="n"/>
      <c r="H489" s="79" t="n"/>
      <c r="I489" s="90">
        <f>IF(A489="","",TEXT(A489,"yyyy-mm"))</f>
        <v/>
      </c>
      <c r="J489" s="90">
        <f>IF(D489="","",IF(AND(D489="Ingreso",H489&gt;0),"OK",IF(AND(D489="Gasto",H489&lt;0),"OK","⚠ Revisar signo")))</f>
        <v/>
      </c>
    </row>
    <row r="490" ht="15" customHeight="1" s="59">
      <c r="A490" s="75" t="n"/>
      <c r="B490" s="74" t="n"/>
      <c r="C490" s="74" t="n"/>
      <c r="D490" s="74" t="n"/>
      <c r="E490" s="74" t="n"/>
      <c r="F490" s="74" t="n"/>
      <c r="G490" s="89" t="n"/>
      <c r="H490" s="79" t="n"/>
      <c r="I490" s="90">
        <f>IF(A490="","",TEXT(A490,"yyyy-mm"))</f>
        <v/>
      </c>
      <c r="J490" s="90">
        <f>IF(D490="","",IF(AND(D490="Ingreso",H490&gt;0),"OK",IF(AND(D490="Gasto",H490&lt;0),"OK","⚠ Revisar signo")))</f>
        <v/>
      </c>
    </row>
    <row r="491" ht="15" customHeight="1" s="59">
      <c r="A491" s="75" t="n"/>
      <c r="B491" s="74" t="n"/>
      <c r="C491" s="74" t="n"/>
      <c r="D491" s="74" t="n"/>
      <c r="E491" s="74" t="n"/>
      <c r="F491" s="74" t="n"/>
      <c r="G491" s="89" t="n"/>
      <c r="H491" s="79" t="n"/>
      <c r="I491" s="90">
        <f>IF(A491="","",TEXT(A491,"yyyy-mm"))</f>
        <v/>
      </c>
      <c r="J491" s="90">
        <f>IF(D491="","",IF(AND(D491="Ingreso",H491&gt;0),"OK",IF(AND(D491="Gasto",H491&lt;0),"OK","⚠ Revisar signo")))</f>
        <v/>
      </c>
    </row>
    <row r="492" ht="15" customHeight="1" s="59">
      <c r="A492" s="75" t="n"/>
      <c r="B492" s="74" t="n"/>
      <c r="C492" s="74" t="n"/>
      <c r="D492" s="74" t="n"/>
      <c r="E492" s="74" t="n"/>
      <c r="F492" s="74" t="n"/>
      <c r="G492" s="89" t="n"/>
      <c r="H492" s="79" t="n"/>
      <c r="I492" s="90">
        <f>IF(A492="","",TEXT(A492,"yyyy-mm"))</f>
        <v/>
      </c>
      <c r="J492" s="90">
        <f>IF(D492="","",IF(AND(D492="Ingreso",H492&gt;0),"OK",IF(AND(D492="Gasto",H492&lt;0),"OK","⚠ Revisar signo")))</f>
        <v/>
      </c>
    </row>
    <row r="493" ht="15" customHeight="1" s="59">
      <c r="A493" s="75" t="n"/>
      <c r="B493" s="74" t="n"/>
      <c r="C493" s="74" t="n"/>
      <c r="D493" s="74" t="n"/>
      <c r="E493" s="74" t="n"/>
      <c r="F493" s="74" t="n"/>
      <c r="G493" s="89" t="n"/>
      <c r="H493" s="79" t="n"/>
      <c r="I493" s="90">
        <f>IF(A493="","",TEXT(A493,"yyyy-mm"))</f>
        <v/>
      </c>
      <c r="J493" s="90">
        <f>IF(D493="","",IF(AND(D493="Ingreso",H493&gt;0),"OK",IF(AND(D493="Gasto",H493&lt;0),"OK","⚠ Revisar signo")))</f>
        <v/>
      </c>
    </row>
    <row r="494" ht="15" customHeight="1" s="59">
      <c r="A494" s="75" t="n"/>
      <c r="B494" s="74" t="n"/>
      <c r="C494" s="74" t="n"/>
      <c r="D494" s="74" t="n"/>
      <c r="E494" s="74" t="n"/>
      <c r="F494" s="74" t="n"/>
      <c r="G494" s="89" t="n"/>
      <c r="H494" s="79" t="n"/>
      <c r="I494" s="90">
        <f>IF(A494="","",TEXT(A494,"yyyy-mm"))</f>
        <v/>
      </c>
      <c r="J494" s="90">
        <f>IF(D494="","",IF(AND(D494="Ingreso",H494&gt;0),"OK",IF(AND(D494="Gasto",H494&lt;0),"OK","⚠ Revisar signo")))</f>
        <v/>
      </c>
    </row>
    <row r="495" ht="15" customHeight="1" s="59">
      <c r="A495" s="75" t="n"/>
      <c r="B495" s="74" t="n"/>
      <c r="C495" s="74" t="n"/>
      <c r="D495" s="74" t="n"/>
      <c r="E495" s="74" t="n"/>
      <c r="F495" s="74" t="n"/>
      <c r="G495" s="89" t="n"/>
      <c r="H495" s="79" t="n"/>
      <c r="I495" s="90">
        <f>IF(A495="","",TEXT(A495,"yyyy-mm"))</f>
        <v/>
      </c>
      <c r="J495" s="90">
        <f>IF(D495="","",IF(AND(D495="Ingreso",H495&gt;0),"OK",IF(AND(D495="Gasto",H495&lt;0),"OK","⚠ Revisar signo")))</f>
        <v/>
      </c>
    </row>
    <row r="496" ht="15" customHeight="1" s="59">
      <c r="A496" s="75" t="n"/>
      <c r="B496" s="74" t="n"/>
      <c r="C496" s="74" t="n"/>
      <c r="D496" s="74" t="n"/>
      <c r="E496" s="74" t="n"/>
      <c r="F496" s="74" t="n"/>
      <c r="G496" s="89" t="n"/>
      <c r="H496" s="79" t="n"/>
      <c r="I496" s="90">
        <f>IF(A496="","",TEXT(A496,"yyyy-mm"))</f>
        <v/>
      </c>
      <c r="J496" s="90">
        <f>IF(D496="","",IF(AND(D496="Ingreso",H496&gt;0),"OK",IF(AND(D496="Gasto",H496&lt;0),"OK","⚠ Revisar signo")))</f>
        <v/>
      </c>
    </row>
    <row r="497" ht="15" customHeight="1" s="59">
      <c r="A497" s="75" t="n"/>
      <c r="B497" s="74" t="n"/>
      <c r="C497" s="74" t="n"/>
      <c r="D497" s="74" t="n"/>
      <c r="E497" s="74" t="n"/>
      <c r="F497" s="74" t="n"/>
      <c r="G497" s="89" t="n"/>
      <c r="H497" s="79" t="n"/>
      <c r="I497" s="90">
        <f>IF(A497="","",TEXT(A497,"yyyy-mm"))</f>
        <v/>
      </c>
      <c r="J497" s="90">
        <f>IF(D497="","",IF(AND(D497="Ingreso",H497&gt;0),"OK",IF(AND(D497="Gasto",H497&lt;0),"OK","⚠ Revisar signo")))</f>
        <v/>
      </c>
    </row>
    <row r="498" ht="15" customHeight="1" s="59">
      <c r="A498" s="75" t="n"/>
      <c r="B498" s="74" t="n"/>
      <c r="C498" s="74" t="n"/>
      <c r="D498" s="74" t="n"/>
      <c r="E498" s="74" t="n"/>
      <c r="F498" s="74" t="n"/>
      <c r="G498" s="89" t="n"/>
      <c r="H498" s="79" t="n"/>
      <c r="I498" s="90">
        <f>IF(A498="","",TEXT(A498,"yyyy-mm"))</f>
        <v/>
      </c>
      <c r="J498" s="90">
        <f>IF(D498="","",IF(AND(D498="Ingreso",H498&gt;0),"OK",IF(AND(D498="Gasto",H498&lt;0),"OK","⚠ Revisar signo")))</f>
        <v/>
      </c>
    </row>
    <row r="499" ht="15" customHeight="1" s="59">
      <c r="A499" s="75" t="n"/>
      <c r="B499" s="74" t="n"/>
      <c r="C499" s="74" t="n"/>
      <c r="D499" s="74" t="n"/>
      <c r="E499" s="74" t="n"/>
      <c r="F499" s="74" t="n"/>
      <c r="G499" s="89" t="n"/>
      <c r="H499" s="79" t="n"/>
      <c r="I499" s="90">
        <f>IF(A499="","",TEXT(A499,"yyyy-mm"))</f>
        <v/>
      </c>
      <c r="J499" s="90">
        <f>IF(D499="","",IF(AND(D499="Ingreso",H499&gt;0),"OK",IF(AND(D499="Gasto",H499&lt;0),"OK","⚠ Revisar signo")))</f>
        <v/>
      </c>
    </row>
    <row r="500" ht="15" customHeight="1" s="59">
      <c r="A500" s="75" t="n"/>
      <c r="B500" s="74" t="n"/>
      <c r="C500" s="74" t="n"/>
      <c r="D500" s="74" t="n"/>
      <c r="E500" s="74" t="n"/>
      <c r="F500" s="74" t="n"/>
      <c r="G500" s="89" t="n"/>
      <c r="H500" s="79" t="n"/>
      <c r="I500" s="90">
        <f>IF(A500="","",TEXT(A500,"yyyy-mm"))</f>
        <v/>
      </c>
      <c r="J500" s="90">
        <f>IF(D500="","",IF(AND(D500="Ingreso",H500&gt;0),"OK",IF(AND(D500="Gasto",H500&lt;0),"OK","⚠ Revisar signo")))</f>
        <v/>
      </c>
    </row>
    <row r="501" ht="15" customHeight="1" s="59">
      <c r="A501" s="75" t="n"/>
      <c r="B501" s="74" t="n"/>
      <c r="C501" s="74" t="n"/>
      <c r="D501" s="74" t="n"/>
      <c r="E501" s="74" t="n"/>
      <c r="F501" s="74" t="n"/>
      <c r="G501" s="89" t="n"/>
      <c r="H501" s="79" t="n"/>
      <c r="I501" s="90">
        <f>IF(A501="","",TEXT(A501,"yyyy-mm"))</f>
        <v/>
      </c>
      <c r="J501" s="90">
        <f>IF(D501="","",IF(AND(D501="Ingreso",H501&gt;0),"OK",IF(AND(D501="Gasto",H501&lt;0),"OK","⚠ Revisar signo")))</f>
        <v/>
      </c>
    </row>
    <row r="502" ht="15" customHeight="1" s="59">
      <c r="A502" s="75" t="n"/>
      <c r="B502" s="74" t="n"/>
      <c r="C502" s="74" t="n"/>
      <c r="D502" s="74" t="n"/>
      <c r="E502" s="74" t="n"/>
      <c r="F502" s="74" t="n"/>
      <c r="G502" s="89" t="n"/>
      <c r="H502" s="79" t="n"/>
      <c r="I502" s="90">
        <f>IF(A502="","",TEXT(A502,"yyyy-mm"))</f>
        <v/>
      </c>
      <c r="J502" s="90">
        <f>IF(D502="","",IF(AND(D502="Ingreso",H502&gt;0),"OK",IF(AND(D502="Gasto",H502&lt;0),"OK","⚠ Revisar signo")))</f>
        <v/>
      </c>
    </row>
    <row r="503" ht="15" customHeight="1" s="59">
      <c r="A503" s="75" t="n"/>
      <c r="B503" s="74" t="n"/>
      <c r="C503" s="74" t="n"/>
      <c r="D503" s="74" t="n"/>
      <c r="E503" s="74" t="n"/>
      <c r="F503" s="74" t="n"/>
      <c r="G503" s="89" t="n"/>
      <c r="H503" s="79" t="n"/>
      <c r="I503" s="90">
        <f>IF(A503="","",TEXT(A503,"yyyy-mm"))</f>
        <v/>
      </c>
      <c r="J503" s="90">
        <f>IF(D503="","",IF(AND(D503="Ingreso",H503&gt;0),"OK",IF(AND(D503="Gasto",H503&lt;0),"OK","⚠ Revisar signo")))</f>
        <v/>
      </c>
    </row>
    <row r="504" ht="15" customHeight="1" s="59">
      <c r="A504" s="75" t="n"/>
      <c r="B504" s="74" t="n"/>
      <c r="C504" s="74" t="n"/>
      <c r="D504" s="74" t="n"/>
      <c r="E504" s="74" t="n"/>
      <c r="F504" s="74" t="n"/>
      <c r="G504" s="89" t="n"/>
      <c r="H504" s="79" t="n"/>
      <c r="I504" s="90">
        <f>IF(A504="","",TEXT(A504,"yyyy-mm"))</f>
        <v/>
      </c>
      <c r="J504" s="90">
        <f>IF(D504="","",IF(AND(D504="Ingreso",H504&gt;0),"OK",IF(AND(D504="Gasto",H504&lt;0),"OK","⚠ Revisar signo")))</f>
        <v/>
      </c>
    </row>
    <row r="505" ht="15" customHeight="1" s="59">
      <c r="A505" s="75" t="n"/>
      <c r="B505" s="74" t="n"/>
      <c r="C505" s="74" t="n"/>
      <c r="D505" s="74" t="n"/>
      <c r="E505" s="74" t="n"/>
      <c r="F505" s="74" t="n"/>
      <c r="G505" s="89" t="n"/>
      <c r="H505" s="79" t="n"/>
      <c r="I505" s="90">
        <f>IF(A505="","",TEXT(A505,"yyyy-mm"))</f>
        <v/>
      </c>
      <c r="J505" s="90">
        <f>IF(D505="","",IF(AND(D505="Ingreso",H505&gt;0),"OK",IF(AND(D505="Gasto",H505&lt;0),"OK","⚠ Revisar signo")))</f>
        <v/>
      </c>
    </row>
    <row r="506" ht="15" customHeight="1" s="59">
      <c r="A506" s="75" t="n"/>
      <c r="B506" s="74" t="n"/>
      <c r="C506" s="74" t="n"/>
      <c r="D506" s="74" t="n"/>
      <c r="E506" s="74" t="n"/>
      <c r="F506" s="74" t="n"/>
      <c r="G506" s="89" t="n"/>
      <c r="H506" s="79" t="n"/>
      <c r="I506" s="90">
        <f>IF(A506="","",TEXT(A506,"yyyy-mm"))</f>
        <v/>
      </c>
      <c r="J506" s="90">
        <f>IF(D506="","",IF(AND(D506="Ingreso",H506&gt;0),"OK",IF(AND(D506="Gasto",H506&lt;0),"OK","⚠ Revisar signo")))</f>
        <v/>
      </c>
    </row>
    <row r="507" ht="15" customHeight="1" s="59">
      <c r="A507" s="75" t="n"/>
      <c r="B507" s="74" t="n"/>
      <c r="C507" s="74" t="n"/>
      <c r="D507" s="74" t="n"/>
      <c r="E507" s="74" t="n"/>
      <c r="F507" s="74" t="n"/>
      <c r="G507" s="89" t="n"/>
      <c r="H507" s="79" t="n"/>
      <c r="I507" s="90">
        <f>IF(A507="","",TEXT(A507,"yyyy-mm"))</f>
        <v/>
      </c>
      <c r="J507" s="90">
        <f>IF(D507="","",IF(AND(D507="Ingreso",H507&gt;0),"OK",IF(AND(D507="Gasto",H507&lt;0),"OK","⚠ Revisar signo")))</f>
        <v/>
      </c>
    </row>
    <row r="508" ht="15" customHeight="1" s="59">
      <c r="A508" s="75" t="n"/>
      <c r="B508" s="74" t="n"/>
      <c r="C508" s="74" t="n"/>
      <c r="D508" s="74" t="n"/>
      <c r="E508" s="74" t="n"/>
      <c r="F508" s="74" t="n"/>
      <c r="G508" s="89" t="n"/>
      <c r="H508" s="79" t="n"/>
      <c r="I508" s="90">
        <f>IF(A508="","",TEXT(A508,"yyyy-mm"))</f>
        <v/>
      </c>
      <c r="J508" s="90">
        <f>IF(D508="","",IF(AND(D508="Ingreso",H508&gt;0),"OK",IF(AND(D508="Gasto",H508&lt;0),"OK","⚠ Revisar signo")))</f>
        <v/>
      </c>
    </row>
    <row r="509" ht="15" customHeight="1" s="59">
      <c r="A509" s="75" t="n"/>
      <c r="B509" s="74" t="n"/>
      <c r="C509" s="74" t="n"/>
      <c r="D509" s="74" t="n"/>
      <c r="E509" s="74" t="n"/>
      <c r="F509" s="74" t="n"/>
      <c r="G509" s="89" t="n"/>
      <c r="H509" s="79" t="n"/>
      <c r="I509" s="90">
        <f>IF(A509="","",TEXT(A509,"yyyy-mm"))</f>
        <v/>
      </c>
      <c r="J509" s="90">
        <f>IF(D509="","",IF(AND(D509="Ingreso",H509&gt;0),"OK",IF(AND(D509="Gasto",H509&lt;0),"OK","⚠ Revisar signo")))</f>
        <v/>
      </c>
    </row>
    <row r="510" ht="15" customHeight="1" s="59">
      <c r="A510" s="75" t="n"/>
      <c r="B510" s="74" t="n"/>
      <c r="C510" s="74" t="n"/>
      <c r="D510" s="74" t="n"/>
      <c r="E510" s="74" t="n"/>
      <c r="F510" s="74" t="n"/>
      <c r="G510" s="89" t="n"/>
      <c r="H510" s="79" t="n"/>
      <c r="I510" s="90">
        <f>IF(A510="","",TEXT(A510,"yyyy-mm"))</f>
        <v/>
      </c>
      <c r="J510" s="90">
        <f>IF(D510="","",IF(AND(D510="Ingreso",H510&gt;0),"OK",IF(AND(D510="Gasto",H510&lt;0),"OK","⚠ Revisar signo")))</f>
        <v/>
      </c>
    </row>
    <row r="511" ht="15" customHeight="1" s="59">
      <c r="A511" s="75" t="n"/>
      <c r="B511" s="74" t="n"/>
      <c r="C511" s="74" t="n"/>
      <c r="D511" s="74" t="n"/>
      <c r="E511" s="74" t="n"/>
      <c r="F511" s="74" t="n"/>
      <c r="G511" s="89" t="n"/>
      <c r="H511" s="79" t="n"/>
      <c r="I511" s="90">
        <f>IF(A511="","",TEXT(A511,"yyyy-mm"))</f>
        <v/>
      </c>
      <c r="J511" s="90">
        <f>IF(D511="","",IF(AND(D511="Ingreso",H511&gt;0),"OK",IF(AND(D511="Gasto",H511&lt;0),"OK","⚠ Revisar signo")))</f>
        <v/>
      </c>
    </row>
    <row r="512" ht="15" customHeight="1" s="59">
      <c r="A512" s="75" t="n"/>
      <c r="B512" s="74" t="n"/>
      <c r="C512" s="74" t="n"/>
      <c r="D512" s="74" t="n"/>
      <c r="E512" s="74" t="n"/>
      <c r="F512" s="74" t="n"/>
      <c r="G512" s="89" t="n"/>
      <c r="H512" s="79" t="n"/>
      <c r="I512" s="90">
        <f>IF(A512="","",TEXT(A512,"yyyy-mm"))</f>
        <v/>
      </c>
      <c r="J512" s="90">
        <f>IF(D512="","",IF(AND(D512="Ingreso",H512&gt;0),"OK",IF(AND(D512="Gasto",H512&lt;0),"OK","⚠ Revisar signo")))</f>
        <v/>
      </c>
    </row>
    <row r="513" ht="15" customHeight="1" s="59">
      <c r="A513" s="75" t="n"/>
      <c r="B513" s="74" t="n"/>
      <c r="C513" s="74" t="n"/>
      <c r="D513" s="74" t="n"/>
      <c r="E513" s="74" t="n"/>
      <c r="F513" s="74" t="n"/>
      <c r="G513" s="89" t="n"/>
      <c r="H513" s="79" t="n"/>
      <c r="I513" s="90">
        <f>IF(A513="","",TEXT(A513,"yyyy-mm"))</f>
        <v/>
      </c>
      <c r="J513" s="90">
        <f>IF(D513="","",IF(AND(D513="Ingreso",H513&gt;0),"OK",IF(AND(D513="Gasto",H513&lt;0),"OK","⚠ Revisar signo")))</f>
        <v/>
      </c>
    </row>
    <row r="514" ht="15" customHeight="1" s="59">
      <c r="A514" s="75" t="n"/>
      <c r="B514" s="74" t="n"/>
      <c r="C514" s="74" t="n"/>
      <c r="D514" s="74" t="n"/>
      <c r="E514" s="74" t="n"/>
      <c r="F514" s="74" t="n"/>
      <c r="G514" s="89" t="n"/>
      <c r="H514" s="79" t="n"/>
      <c r="I514" s="90">
        <f>IF(A514="","",TEXT(A514,"yyyy-mm"))</f>
        <v/>
      </c>
      <c r="J514" s="90">
        <f>IF(D514="","",IF(AND(D514="Ingreso",H514&gt;0),"OK",IF(AND(D514="Gasto",H514&lt;0),"OK","⚠ Revisar signo")))</f>
        <v/>
      </c>
    </row>
    <row r="515" ht="15" customHeight="1" s="59">
      <c r="A515" s="75" t="n"/>
      <c r="B515" s="74" t="n"/>
      <c r="C515" s="74" t="n"/>
      <c r="D515" s="74" t="n"/>
      <c r="E515" s="74" t="n"/>
      <c r="F515" s="74" t="n"/>
      <c r="G515" s="89" t="n"/>
      <c r="H515" s="79" t="n"/>
      <c r="I515" s="90">
        <f>IF(A515="","",TEXT(A515,"yyyy-mm"))</f>
        <v/>
      </c>
      <c r="J515" s="90">
        <f>IF(D515="","",IF(AND(D515="Ingreso",H515&gt;0),"OK",IF(AND(D515="Gasto",H515&lt;0),"OK","⚠ Revisar signo")))</f>
        <v/>
      </c>
    </row>
    <row r="516" ht="15" customHeight="1" s="59">
      <c r="A516" s="75" t="n"/>
      <c r="B516" s="74" t="n"/>
      <c r="C516" s="74" t="n"/>
      <c r="D516" s="74" t="n"/>
      <c r="E516" s="74" t="n"/>
      <c r="F516" s="74" t="n"/>
      <c r="G516" s="89" t="n"/>
      <c r="H516" s="79" t="n"/>
      <c r="I516" s="90">
        <f>IF(A516="","",TEXT(A516,"yyyy-mm"))</f>
        <v/>
      </c>
      <c r="J516" s="90">
        <f>IF(D516="","",IF(AND(D516="Ingreso",H516&gt;0),"OK",IF(AND(D516="Gasto",H516&lt;0),"OK","⚠ Revisar signo")))</f>
        <v/>
      </c>
    </row>
    <row r="517" ht="15" customHeight="1" s="59">
      <c r="A517" s="75" t="n"/>
      <c r="B517" s="74" t="n"/>
      <c r="C517" s="74" t="n"/>
      <c r="D517" s="74" t="n"/>
      <c r="E517" s="74" t="n"/>
      <c r="F517" s="74" t="n"/>
      <c r="G517" s="89" t="n"/>
      <c r="H517" s="79" t="n"/>
      <c r="I517" s="90">
        <f>IF(A517="","",TEXT(A517,"yyyy-mm"))</f>
        <v/>
      </c>
      <c r="J517" s="90">
        <f>IF(D517="","",IF(AND(D517="Ingreso",H517&gt;0),"OK",IF(AND(D517="Gasto",H517&lt;0),"OK","⚠ Revisar signo")))</f>
        <v/>
      </c>
    </row>
    <row r="518" ht="15" customHeight="1" s="59">
      <c r="A518" s="75" t="n"/>
      <c r="B518" s="74" t="n"/>
      <c r="C518" s="74" t="n"/>
      <c r="D518" s="74" t="n"/>
      <c r="E518" s="74" t="n"/>
      <c r="F518" s="74" t="n"/>
      <c r="G518" s="89" t="n"/>
      <c r="H518" s="79" t="n"/>
      <c r="I518" s="90">
        <f>IF(A518="","",TEXT(A518,"yyyy-mm"))</f>
        <v/>
      </c>
      <c r="J518" s="90">
        <f>IF(D518="","",IF(AND(D518="Ingreso",H518&gt;0),"OK",IF(AND(D518="Gasto",H518&lt;0),"OK","⚠ Revisar signo")))</f>
        <v/>
      </c>
    </row>
    <row r="519" ht="15" customHeight="1" s="59">
      <c r="A519" s="75" t="n"/>
      <c r="B519" s="74" t="n"/>
      <c r="C519" s="74" t="n"/>
      <c r="D519" s="74" t="n"/>
      <c r="E519" s="74" t="n"/>
      <c r="F519" s="74" t="n"/>
      <c r="G519" s="89" t="n"/>
      <c r="H519" s="79" t="n"/>
      <c r="I519" s="90">
        <f>IF(A519="","",TEXT(A519,"yyyy-mm"))</f>
        <v/>
      </c>
      <c r="J519" s="90">
        <f>IF(D519="","",IF(AND(D519="Ingreso",H519&gt;0),"OK",IF(AND(D519="Gasto",H519&lt;0),"OK","⚠ Revisar signo")))</f>
        <v/>
      </c>
    </row>
    <row r="520" ht="15" customHeight="1" s="59">
      <c r="A520" s="75" t="n"/>
      <c r="B520" s="74" t="n"/>
      <c r="C520" s="74" t="n"/>
      <c r="D520" s="74" t="n"/>
      <c r="E520" s="74" t="n"/>
      <c r="F520" s="74" t="n"/>
      <c r="G520" s="89" t="n"/>
      <c r="H520" s="79" t="n"/>
      <c r="I520" s="90">
        <f>IF(A520="","",TEXT(A520,"yyyy-mm"))</f>
        <v/>
      </c>
      <c r="J520" s="90">
        <f>IF(D520="","",IF(AND(D520="Ingreso",H520&gt;0),"OK",IF(AND(D520="Gasto",H520&lt;0),"OK","⚠ Revisar signo")))</f>
        <v/>
      </c>
    </row>
    <row r="521" ht="15" customHeight="1" s="59">
      <c r="A521" s="75" t="n"/>
      <c r="B521" s="74" t="n"/>
      <c r="C521" s="74" t="n"/>
      <c r="D521" s="74" t="n"/>
      <c r="E521" s="74" t="n"/>
      <c r="F521" s="74" t="n"/>
      <c r="G521" s="89" t="n"/>
      <c r="H521" s="79" t="n"/>
      <c r="I521" s="90">
        <f>IF(A521="","",TEXT(A521,"yyyy-mm"))</f>
        <v/>
      </c>
      <c r="J521" s="90">
        <f>IF(D521="","",IF(AND(D521="Ingreso",H521&gt;0),"OK",IF(AND(D521="Gasto",H521&lt;0),"OK","⚠ Revisar signo")))</f>
        <v/>
      </c>
    </row>
    <row r="522" ht="15" customHeight="1" s="59">
      <c r="A522" s="75" t="n"/>
      <c r="B522" s="74" t="n"/>
      <c r="C522" s="74" t="n"/>
      <c r="D522" s="74" t="n"/>
      <c r="E522" s="74" t="n"/>
      <c r="F522" s="74" t="n"/>
      <c r="G522" s="89" t="n"/>
      <c r="H522" s="79" t="n"/>
      <c r="I522" s="90">
        <f>IF(A522="","",TEXT(A522,"yyyy-mm"))</f>
        <v/>
      </c>
      <c r="J522" s="90">
        <f>IF(D522="","",IF(AND(D522="Ingreso",H522&gt;0),"OK",IF(AND(D522="Gasto",H522&lt;0),"OK","⚠ Revisar signo")))</f>
        <v/>
      </c>
    </row>
    <row r="523" ht="15" customHeight="1" s="59">
      <c r="A523" s="75" t="n"/>
      <c r="B523" s="74" t="n"/>
      <c r="C523" s="74" t="n"/>
      <c r="D523" s="74" t="n"/>
      <c r="E523" s="74" t="n"/>
      <c r="F523" s="74" t="n"/>
      <c r="G523" s="89" t="n"/>
      <c r="H523" s="79" t="n"/>
      <c r="I523" s="90">
        <f>IF(A523="","",TEXT(A523,"yyyy-mm"))</f>
        <v/>
      </c>
      <c r="J523" s="90">
        <f>IF(D523="","",IF(AND(D523="Ingreso",H523&gt;0),"OK",IF(AND(D523="Gasto",H523&lt;0),"OK","⚠ Revisar signo")))</f>
        <v/>
      </c>
    </row>
    <row r="524" ht="15" customHeight="1" s="59">
      <c r="A524" s="75" t="n"/>
      <c r="B524" s="74" t="n"/>
      <c r="C524" s="74" t="n"/>
      <c r="D524" s="74" t="n"/>
      <c r="E524" s="74" t="n"/>
      <c r="F524" s="74" t="n"/>
      <c r="G524" s="89" t="n"/>
      <c r="H524" s="79" t="n"/>
      <c r="I524" s="90">
        <f>IF(A524="","",TEXT(A524,"yyyy-mm"))</f>
        <v/>
      </c>
      <c r="J524" s="90">
        <f>IF(D524="","",IF(AND(D524="Ingreso",H524&gt;0),"OK",IF(AND(D524="Gasto",H524&lt;0),"OK","⚠ Revisar signo")))</f>
        <v/>
      </c>
    </row>
    <row r="525" ht="15" customHeight="1" s="59">
      <c r="A525" s="75" t="n"/>
      <c r="B525" s="74" t="n"/>
      <c r="C525" s="74" t="n"/>
      <c r="D525" s="74" t="n"/>
      <c r="E525" s="74" t="n"/>
      <c r="F525" s="74" t="n"/>
      <c r="G525" s="89" t="n"/>
      <c r="H525" s="79" t="n"/>
      <c r="I525" s="90">
        <f>IF(A525="","",TEXT(A525,"yyyy-mm"))</f>
        <v/>
      </c>
      <c r="J525" s="90">
        <f>IF(D525="","",IF(AND(D525="Ingreso",H525&gt;0),"OK",IF(AND(D525="Gasto",H525&lt;0),"OK","⚠ Revisar signo")))</f>
        <v/>
      </c>
    </row>
    <row r="526" ht="15" customHeight="1" s="59">
      <c r="A526" s="75" t="n"/>
      <c r="B526" s="74" t="n"/>
      <c r="C526" s="74" t="n"/>
      <c r="D526" s="74" t="n"/>
      <c r="E526" s="74" t="n"/>
      <c r="F526" s="74" t="n"/>
      <c r="G526" s="89" t="n"/>
      <c r="H526" s="79" t="n"/>
      <c r="I526" s="90">
        <f>IF(A526="","",TEXT(A526,"yyyy-mm"))</f>
        <v/>
      </c>
      <c r="J526" s="90">
        <f>IF(D526="","",IF(AND(D526="Ingreso",H526&gt;0),"OK",IF(AND(D526="Gasto",H526&lt;0),"OK","⚠ Revisar signo")))</f>
        <v/>
      </c>
    </row>
    <row r="527" ht="15" customHeight="1" s="59">
      <c r="A527" s="75" t="n"/>
      <c r="B527" s="74" t="n"/>
      <c r="C527" s="74" t="n"/>
      <c r="D527" s="74" t="n"/>
      <c r="E527" s="74" t="n"/>
      <c r="F527" s="74" t="n"/>
      <c r="G527" s="89" t="n"/>
      <c r="H527" s="79" t="n"/>
      <c r="I527" s="90">
        <f>IF(A527="","",TEXT(A527,"yyyy-mm"))</f>
        <v/>
      </c>
      <c r="J527" s="90">
        <f>IF(D527="","",IF(AND(D527="Ingreso",H527&gt;0),"OK",IF(AND(D527="Gasto",H527&lt;0),"OK","⚠ Revisar signo")))</f>
        <v/>
      </c>
    </row>
    <row r="528" ht="15" customHeight="1" s="59">
      <c r="A528" s="75" t="n"/>
      <c r="B528" s="74" t="n"/>
      <c r="C528" s="74" t="n"/>
      <c r="D528" s="74" t="n"/>
      <c r="E528" s="74" t="n"/>
      <c r="F528" s="74" t="n"/>
      <c r="G528" s="89" t="n"/>
      <c r="H528" s="79" t="n"/>
      <c r="I528" s="90">
        <f>IF(A528="","",TEXT(A528,"yyyy-mm"))</f>
        <v/>
      </c>
      <c r="J528" s="90">
        <f>IF(D528="","",IF(AND(D528="Ingreso",H528&gt;0),"OK",IF(AND(D528="Gasto",H528&lt;0),"OK","⚠ Revisar signo")))</f>
        <v/>
      </c>
    </row>
    <row r="529" ht="15" customHeight="1" s="59">
      <c r="A529" s="75" t="n"/>
      <c r="B529" s="74" t="n"/>
      <c r="C529" s="74" t="n"/>
      <c r="D529" s="74" t="n"/>
      <c r="E529" s="74" t="n"/>
      <c r="F529" s="74" t="n"/>
      <c r="G529" s="89" t="n"/>
      <c r="H529" s="79" t="n"/>
      <c r="I529" s="90">
        <f>IF(A529="","",TEXT(A529,"yyyy-mm"))</f>
        <v/>
      </c>
      <c r="J529" s="90">
        <f>IF(D529="","",IF(AND(D529="Ingreso",H529&gt;0),"OK",IF(AND(D529="Gasto",H529&lt;0),"OK","⚠ Revisar signo")))</f>
        <v/>
      </c>
    </row>
    <row r="530" ht="15" customHeight="1" s="59">
      <c r="A530" s="75" t="n"/>
      <c r="B530" s="74" t="n"/>
      <c r="C530" s="74" t="n"/>
      <c r="D530" s="74" t="n"/>
      <c r="E530" s="74" t="n"/>
      <c r="F530" s="74" t="n"/>
      <c r="G530" s="89" t="n"/>
      <c r="H530" s="79" t="n"/>
      <c r="I530" s="90">
        <f>IF(A530="","",TEXT(A530,"yyyy-mm"))</f>
        <v/>
      </c>
      <c r="J530" s="90">
        <f>IF(D530="","",IF(AND(D530="Ingreso",H530&gt;0),"OK",IF(AND(D530="Gasto",H530&lt;0),"OK","⚠ Revisar signo")))</f>
        <v/>
      </c>
    </row>
    <row r="531" ht="15" customHeight="1" s="59">
      <c r="A531" s="75" t="n"/>
      <c r="B531" s="74" t="n"/>
      <c r="C531" s="74" t="n"/>
      <c r="D531" s="74" t="n"/>
      <c r="E531" s="74" t="n"/>
      <c r="F531" s="74" t="n"/>
      <c r="G531" s="89" t="n"/>
      <c r="H531" s="79" t="n"/>
      <c r="I531" s="90">
        <f>IF(A531="","",TEXT(A531,"yyyy-mm"))</f>
        <v/>
      </c>
      <c r="J531" s="90">
        <f>IF(D531="","",IF(AND(D531="Ingreso",H531&gt;0),"OK",IF(AND(D531="Gasto",H531&lt;0),"OK","⚠ Revisar signo")))</f>
        <v/>
      </c>
    </row>
    <row r="532" ht="15" customHeight="1" s="59">
      <c r="A532" s="75" t="n"/>
      <c r="B532" s="74" t="n"/>
      <c r="C532" s="74" t="n"/>
      <c r="D532" s="74" t="n"/>
      <c r="E532" s="74" t="n"/>
      <c r="F532" s="74" t="n"/>
      <c r="G532" s="89" t="n"/>
      <c r="H532" s="79" t="n"/>
      <c r="I532" s="90">
        <f>IF(A532="","",TEXT(A532,"yyyy-mm"))</f>
        <v/>
      </c>
      <c r="J532" s="90">
        <f>IF(D532="","",IF(AND(D532="Ingreso",H532&gt;0),"OK",IF(AND(D532="Gasto",H532&lt;0),"OK","⚠ Revisar signo")))</f>
        <v/>
      </c>
    </row>
    <row r="533" ht="15" customHeight="1" s="59">
      <c r="A533" s="75" t="n"/>
      <c r="B533" s="74" t="n"/>
      <c r="C533" s="74" t="n"/>
      <c r="D533" s="74" t="n"/>
      <c r="E533" s="74" t="n"/>
      <c r="F533" s="74" t="n"/>
      <c r="G533" s="89" t="n"/>
      <c r="H533" s="79" t="n"/>
      <c r="I533" s="90">
        <f>IF(A533="","",TEXT(A533,"yyyy-mm"))</f>
        <v/>
      </c>
      <c r="J533" s="90">
        <f>IF(D533="","",IF(AND(D533="Ingreso",H533&gt;0),"OK",IF(AND(D533="Gasto",H533&lt;0),"OK","⚠ Revisar signo")))</f>
        <v/>
      </c>
    </row>
    <row r="534" ht="15" customHeight="1" s="59">
      <c r="A534" s="75" t="n"/>
      <c r="B534" s="74" t="n"/>
      <c r="C534" s="74" t="n"/>
      <c r="D534" s="74" t="n"/>
      <c r="E534" s="74" t="n"/>
      <c r="F534" s="74" t="n"/>
      <c r="G534" s="89" t="n"/>
      <c r="H534" s="79" t="n"/>
      <c r="I534" s="90">
        <f>IF(A534="","",TEXT(A534,"yyyy-mm"))</f>
        <v/>
      </c>
      <c r="J534" s="90">
        <f>IF(D534="","",IF(AND(D534="Ingreso",H534&gt;0),"OK",IF(AND(D534="Gasto",H534&lt;0),"OK","⚠ Revisar signo")))</f>
        <v/>
      </c>
    </row>
    <row r="535" ht="15" customHeight="1" s="59">
      <c r="A535" s="75" t="n"/>
      <c r="B535" s="74" t="n"/>
      <c r="C535" s="74" t="n"/>
      <c r="D535" s="74" t="n"/>
      <c r="E535" s="74" t="n"/>
      <c r="F535" s="74" t="n"/>
      <c r="G535" s="89" t="n"/>
      <c r="H535" s="79" t="n"/>
      <c r="I535" s="90">
        <f>IF(A535="","",TEXT(A535,"yyyy-mm"))</f>
        <v/>
      </c>
      <c r="J535" s="90">
        <f>IF(D535="","",IF(AND(D535="Ingreso",H535&gt;0),"OK",IF(AND(D535="Gasto",H535&lt;0),"OK","⚠ Revisar signo")))</f>
        <v/>
      </c>
    </row>
    <row r="536" ht="15" customHeight="1" s="59">
      <c r="A536" s="75" t="n"/>
      <c r="B536" s="74" t="n"/>
      <c r="C536" s="74" t="n"/>
      <c r="D536" s="74" t="n"/>
      <c r="E536" s="74" t="n"/>
      <c r="F536" s="74" t="n"/>
      <c r="G536" s="89" t="n"/>
      <c r="H536" s="79" t="n"/>
      <c r="I536" s="90">
        <f>IF(A536="","",TEXT(A536,"yyyy-mm"))</f>
        <v/>
      </c>
      <c r="J536" s="90">
        <f>IF(D536="","",IF(AND(D536="Ingreso",H536&gt;0),"OK",IF(AND(D536="Gasto",H536&lt;0),"OK","⚠ Revisar signo")))</f>
        <v/>
      </c>
    </row>
    <row r="537" ht="15" customHeight="1" s="59">
      <c r="A537" s="75" t="n"/>
      <c r="B537" s="74" t="n"/>
      <c r="C537" s="74" t="n"/>
      <c r="D537" s="74" t="n"/>
      <c r="E537" s="74" t="n"/>
      <c r="F537" s="74" t="n"/>
      <c r="G537" s="89" t="n"/>
      <c r="H537" s="79" t="n"/>
      <c r="I537" s="90">
        <f>IF(A537="","",TEXT(A537,"yyyy-mm"))</f>
        <v/>
      </c>
      <c r="J537" s="90">
        <f>IF(D537="","",IF(AND(D537="Ingreso",H537&gt;0),"OK",IF(AND(D537="Gasto",H537&lt;0),"OK","⚠ Revisar signo")))</f>
        <v/>
      </c>
    </row>
    <row r="538" ht="15" customHeight="1" s="59">
      <c r="A538" s="75" t="n"/>
      <c r="B538" s="74" t="n"/>
      <c r="C538" s="74" t="n"/>
      <c r="D538" s="74" t="n"/>
      <c r="E538" s="74" t="n"/>
      <c r="F538" s="74" t="n"/>
      <c r="G538" s="89" t="n"/>
      <c r="H538" s="79" t="n"/>
      <c r="I538" s="90">
        <f>IF(A538="","",TEXT(A538,"yyyy-mm"))</f>
        <v/>
      </c>
      <c r="J538" s="90">
        <f>IF(D538="","",IF(AND(D538="Ingreso",H538&gt;0),"OK",IF(AND(D538="Gasto",H538&lt;0),"OK","⚠ Revisar signo")))</f>
        <v/>
      </c>
    </row>
    <row r="539" ht="15" customHeight="1" s="59">
      <c r="A539" s="75" t="n"/>
      <c r="B539" s="74" t="n"/>
      <c r="C539" s="74" t="n"/>
      <c r="D539" s="74" t="n"/>
      <c r="E539" s="74" t="n"/>
      <c r="F539" s="74" t="n"/>
      <c r="G539" s="89" t="n"/>
      <c r="H539" s="79" t="n"/>
      <c r="I539" s="90">
        <f>IF(A539="","",TEXT(A539,"yyyy-mm"))</f>
        <v/>
      </c>
      <c r="J539" s="90">
        <f>IF(D539="","",IF(AND(D539="Ingreso",H539&gt;0),"OK",IF(AND(D539="Gasto",H539&lt;0),"OK","⚠ Revisar signo")))</f>
        <v/>
      </c>
    </row>
    <row r="540" ht="15" customHeight="1" s="59">
      <c r="A540" s="75" t="n"/>
      <c r="B540" s="74" t="n"/>
      <c r="C540" s="74" t="n"/>
      <c r="D540" s="74" t="n"/>
      <c r="E540" s="74" t="n"/>
      <c r="F540" s="74" t="n"/>
      <c r="G540" s="89" t="n"/>
      <c r="H540" s="79" t="n"/>
      <c r="I540" s="90">
        <f>IF(A540="","",TEXT(A540,"yyyy-mm"))</f>
        <v/>
      </c>
      <c r="J540" s="90">
        <f>IF(D540="","",IF(AND(D540="Ingreso",H540&gt;0),"OK",IF(AND(D540="Gasto",H540&lt;0),"OK","⚠ Revisar signo")))</f>
        <v/>
      </c>
    </row>
    <row r="541" ht="15" customHeight="1" s="59">
      <c r="A541" s="75" t="n"/>
      <c r="B541" s="74" t="n"/>
      <c r="C541" s="74" t="n"/>
      <c r="D541" s="74" t="n"/>
      <c r="E541" s="74" t="n"/>
      <c r="F541" s="74" t="n"/>
      <c r="G541" s="89" t="n"/>
      <c r="H541" s="79" t="n"/>
      <c r="I541" s="90">
        <f>IF(A541="","",TEXT(A541,"yyyy-mm"))</f>
        <v/>
      </c>
      <c r="J541" s="90">
        <f>IF(D541="","",IF(AND(D541="Ingreso",H541&gt;0),"OK",IF(AND(D541="Gasto",H541&lt;0),"OK","⚠ Revisar signo")))</f>
        <v/>
      </c>
    </row>
    <row r="542" ht="15" customHeight="1" s="59">
      <c r="A542" s="75" t="n"/>
      <c r="B542" s="74" t="n"/>
      <c r="C542" s="74" t="n"/>
      <c r="D542" s="74" t="n"/>
      <c r="E542" s="74" t="n"/>
      <c r="F542" s="74" t="n"/>
      <c r="G542" s="89" t="n"/>
      <c r="H542" s="79" t="n"/>
      <c r="I542" s="90">
        <f>IF(A542="","",TEXT(A542,"yyyy-mm"))</f>
        <v/>
      </c>
      <c r="J542" s="90">
        <f>IF(D542="","",IF(AND(D542="Ingreso",H542&gt;0),"OK",IF(AND(D542="Gasto",H542&lt;0),"OK","⚠ Revisar signo")))</f>
        <v/>
      </c>
    </row>
    <row r="543" ht="15" customHeight="1" s="59">
      <c r="A543" s="75" t="n"/>
      <c r="B543" s="74" t="n"/>
      <c r="C543" s="74" t="n"/>
      <c r="D543" s="74" t="n"/>
      <c r="E543" s="74" t="n"/>
      <c r="F543" s="74" t="n"/>
      <c r="G543" s="89" t="n"/>
      <c r="H543" s="79" t="n"/>
      <c r="I543" s="90">
        <f>IF(A543="","",TEXT(A543,"yyyy-mm"))</f>
        <v/>
      </c>
      <c r="J543" s="90">
        <f>IF(D543="","",IF(AND(D543="Ingreso",H543&gt;0),"OK",IF(AND(D543="Gasto",H543&lt;0),"OK","⚠ Revisar signo")))</f>
        <v/>
      </c>
    </row>
    <row r="544" ht="15" customHeight="1" s="59">
      <c r="A544" s="75" t="n"/>
      <c r="B544" s="74" t="n"/>
      <c r="C544" s="74" t="n"/>
      <c r="D544" s="74" t="n"/>
      <c r="E544" s="74" t="n"/>
      <c r="F544" s="74" t="n"/>
      <c r="G544" s="89" t="n"/>
      <c r="H544" s="79" t="n"/>
      <c r="I544" s="90">
        <f>IF(A544="","",TEXT(A544,"yyyy-mm"))</f>
        <v/>
      </c>
      <c r="J544" s="90">
        <f>IF(D544="","",IF(AND(D544="Ingreso",H544&gt;0),"OK",IF(AND(D544="Gasto",H544&lt;0),"OK","⚠ Revisar signo")))</f>
        <v/>
      </c>
    </row>
    <row r="545" ht="15" customHeight="1" s="59">
      <c r="A545" s="75" t="n"/>
      <c r="B545" s="74" t="n"/>
      <c r="C545" s="74" t="n"/>
      <c r="D545" s="74" t="n"/>
      <c r="E545" s="74" t="n"/>
      <c r="F545" s="74" t="n"/>
      <c r="G545" s="89" t="n"/>
      <c r="H545" s="79" t="n"/>
      <c r="I545" s="90">
        <f>IF(A545="","",TEXT(A545,"yyyy-mm"))</f>
        <v/>
      </c>
      <c r="J545" s="90">
        <f>IF(D545="","",IF(AND(D545="Ingreso",H545&gt;0),"OK",IF(AND(D545="Gasto",H545&lt;0),"OK","⚠ Revisar signo")))</f>
        <v/>
      </c>
    </row>
    <row r="546" ht="15" customHeight="1" s="59">
      <c r="A546" s="75" t="n"/>
      <c r="B546" s="74" t="n"/>
      <c r="C546" s="74" t="n"/>
      <c r="D546" s="74" t="n"/>
      <c r="E546" s="74" t="n"/>
      <c r="F546" s="74" t="n"/>
      <c r="G546" s="89" t="n"/>
      <c r="H546" s="79" t="n"/>
      <c r="I546" s="90">
        <f>IF(A546="","",TEXT(A546,"yyyy-mm"))</f>
        <v/>
      </c>
      <c r="J546" s="90">
        <f>IF(D546="","",IF(AND(D546="Ingreso",H546&gt;0),"OK",IF(AND(D546="Gasto",H546&lt;0),"OK","⚠ Revisar signo")))</f>
        <v/>
      </c>
    </row>
    <row r="547" ht="15" customHeight="1" s="59">
      <c r="A547" s="75" t="n"/>
      <c r="B547" s="74" t="n"/>
      <c r="C547" s="74" t="n"/>
      <c r="D547" s="74" t="n"/>
      <c r="E547" s="74" t="n"/>
      <c r="F547" s="74" t="n"/>
      <c r="G547" s="89" t="n"/>
      <c r="H547" s="79" t="n"/>
      <c r="I547" s="90">
        <f>IF(A547="","",TEXT(A547,"yyyy-mm"))</f>
        <v/>
      </c>
      <c r="J547" s="90">
        <f>IF(D547="","",IF(AND(D547="Ingreso",H547&gt;0),"OK",IF(AND(D547="Gasto",H547&lt;0),"OK","⚠ Revisar signo")))</f>
        <v/>
      </c>
    </row>
    <row r="548" ht="15" customHeight="1" s="59">
      <c r="A548" s="75" t="n"/>
      <c r="B548" s="74" t="n"/>
      <c r="C548" s="74" t="n"/>
      <c r="D548" s="74" t="n"/>
      <c r="E548" s="74" t="n"/>
      <c r="F548" s="74" t="n"/>
      <c r="G548" s="89" t="n"/>
      <c r="H548" s="79" t="n"/>
      <c r="I548" s="90">
        <f>IF(A548="","",TEXT(A548,"yyyy-mm"))</f>
        <v/>
      </c>
      <c r="J548" s="90">
        <f>IF(D548="","",IF(AND(D548="Ingreso",H548&gt;0),"OK",IF(AND(D548="Gasto",H548&lt;0),"OK","⚠ Revisar signo")))</f>
        <v/>
      </c>
    </row>
    <row r="549" ht="15" customHeight="1" s="59">
      <c r="A549" s="75" t="n"/>
      <c r="B549" s="74" t="n"/>
      <c r="C549" s="74" t="n"/>
      <c r="D549" s="74" t="n"/>
      <c r="E549" s="74" t="n"/>
      <c r="F549" s="74" t="n"/>
      <c r="G549" s="89" t="n"/>
      <c r="H549" s="79" t="n"/>
      <c r="I549" s="90">
        <f>IF(A549="","",TEXT(A549,"yyyy-mm"))</f>
        <v/>
      </c>
      <c r="J549" s="90">
        <f>IF(D549="","",IF(AND(D549="Ingreso",H549&gt;0),"OK",IF(AND(D549="Gasto",H549&lt;0),"OK","⚠ Revisar signo")))</f>
        <v/>
      </c>
    </row>
    <row r="550" ht="15" customHeight="1" s="59">
      <c r="A550" s="75" t="n"/>
      <c r="B550" s="74" t="n"/>
      <c r="C550" s="74" t="n"/>
      <c r="D550" s="74" t="n"/>
      <c r="E550" s="74" t="n"/>
      <c r="F550" s="74" t="n"/>
      <c r="G550" s="89" t="n"/>
      <c r="H550" s="79" t="n"/>
      <c r="I550" s="90">
        <f>IF(A550="","",TEXT(A550,"yyyy-mm"))</f>
        <v/>
      </c>
      <c r="J550" s="90">
        <f>IF(D550="","",IF(AND(D550="Ingreso",H550&gt;0),"OK",IF(AND(D550="Gasto",H550&lt;0),"OK","⚠ Revisar signo")))</f>
        <v/>
      </c>
    </row>
    <row r="551" ht="15" customHeight="1" s="59">
      <c r="A551" s="75" t="n"/>
      <c r="B551" s="74" t="n"/>
      <c r="C551" s="74" t="n"/>
      <c r="D551" s="74" t="n"/>
      <c r="E551" s="74" t="n"/>
      <c r="F551" s="74" t="n"/>
      <c r="G551" s="89" t="n"/>
      <c r="H551" s="79" t="n"/>
      <c r="I551" s="90">
        <f>IF(A551="","",TEXT(A551,"yyyy-mm"))</f>
        <v/>
      </c>
      <c r="J551" s="90">
        <f>IF(D551="","",IF(AND(D551="Ingreso",H551&gt;0),"OK",IF(AND(D551="Gasto",H551&lt;0),"OK","⚠ Revisar signo")))</f>
        <v/>
      </c>
    </row>
    <row r="552" ht="15" customHeight="1" s="59">
      <c r="A552" s="75" t="n"/>
      <c r="B552" s="74" t="n"/>
      <c r="C552" s="74" t="n"/>
      <c r="D552" s="74" t="n"/>
      <c r="E552" s="74" t="n"/>
      <c r="F552" s="74" t="n"/>
      <c r="G552" s="89" t="n"/>
      <c r="H552" s="79" t="n"/>
      <c r="I552" s="90">
        <f>IF(A552="","",TEXT(A552,"yyyy-mm"))</f>
        <v/>
      </c>
      <c r="J552" s="90">
        <f>IF(D552="","",IF(AND(D552="Ingreso",H552&gt;0),"OK",IF(AND(D552="Gasto",H552&lt;0),"OK","⚠ Revisar signo")))</f>
        <v/>
      </c>
    </row>
    <row r="553" ht="15" customHeight="1" s="59">
      <c r="A553" s="75" t="n"/>
      <c r="B553" s="74" t="n"/>
      <c r="C553" s="74" t="n"/>
      <c r="D553" s="74" t="n"/>
      <c r="E553" s="74" t="n"/>
      <c r="F553" s="74" t="n"/>
      <c r="G553" s="89" t="n"/>
      <c r="H553" s="79" t="n"/>
      <c r="I553" s="90">
        <f>IF(A553="","",TEXT(A553,"yyyy-mm"))</f>
        <v/>
      </c>
      <c r="J553" s="90">
        <f>IF(D553="","",IF(AND(D553="Ingreso",H553&gt;0),"OK",IF(AND(D553="Gasto",H553&lt;0),"OK","⚠ Revisar signo")))</f>
        <v/>
      </c>
    </row>
    <row r="554" ht="15" customHeight="1" s="59">
      <c r="A554" s="75" t="n"/>
      <c r="B554" s="74" t="n"/>
      <c r="C554" s="74" t="n"/>
      <c r="D554" s="74" t="n"/>
      <c r="E554" s="74" t="n"/>
      <c r="F554" s="74" t="n"/>
      <c r="G554" s="89" t="n"/>
      <c r="H554" s="79" t="n"/>
      <c r="I554" s="90">
        <f>IF(A554="","",TEXT(A554,"yyyy-mm"))</f>
        <v/>
      </c>
      <c r="J554" s="90">
        <f>IF(D554="","",IF(AND(D554="Ingreso",H554&gt;0),"OK",IF(AND(D554="Gasto",H554&lt;0),"OK","⚠ Revisar signo")))</f>
        <v/>
      </c>
    </row>
    <row r="555" ht="15" customHeight="1" s="59">
      <c r="A555" s="75" t="n"/>
      <c r="B555" s="74" t="n"/>
      <c r="C555" s="74" t="n"/>
      <c r="D555" s="74" t="n"/>
      <c r="E555" s="74" t="n"/>
      <c r="F555" s="74" t="n"/>
      <c r="G555" s="89" t="n"/>
      <c r="H555" s="79" t="n"/>
      <c r="I555" s="90">
        <f>IF(A555="","",TEXT(A555,"yyyy-mm"))</f>
        <v/>
      </c>
      <c r="J555" s="90">
        <f>IF(D555="","",IF(AND(D555="Ingreso",H555&gt;0),"OK",IF(AND(D555="Gasto",H555&lt;0),"OK","⚠ Revisar signo")))</f>
        <v/>
      </c>
    </row>
    <row r="556" ht="15" customHeight="1" s="59">
      <c r="A556" s="75" t="n"/>
      <c r="B556" s="74" t="n"/>
      <c r="C556" s="74" t="n"/>
      <c r="D556" s="74" t="n"/>
      <c r="E556" s="74" t="n"/>
      <c r="F556" s="74" t="n"/>
      <c r="G556" s="89" t="n"/>
      <c r="H556" s="79" t="n"/>
      <c r="I556" s="90">
        <f>IF(A556="","",TEXT(A556,"yyyy-mm"))</f>
        <v/>
      </c>
      <c r="J556" s="90">
        <f>IF(D556="","",IF(AND(D556="Ingreso",H556&gt;0),"OK",IF(AND(D556="Gasto",H556&lt;0),"OK","⚠ Revisar signo")))</f>
        <v/>
      </c>
    </row>
    <row r="557" ht="15" customHeight="1" s="59">
      <c r="A557" s="75" t="n"/>
      <c r="B557" s="74" t="n"/>
      <c r="C557" s="74" t="n"/>
      <c r="D557" s="74" t="n"/>
      <c r="E557" s="74" t="n"/>
      <c r="F557" s="74" t="n"/>
      <c r="G557" s="89" t="n"/>
      <c r="H557" s="79" t="n"/>
      <c r="I557" s="90">
        <f>IF(A557="","",TEXT(A557,"yyyy-mm"))</f>
        <v/>
      </c>
      <c r="J557" s="90">
        <f>IF(D557="","",IF(AND(D557="Ingreso",H557&gt;0),"OK",IF(AND(D557="Gasto",H557&lt;0),"OK","⚠ Revisar signo")))</f>
        <v/>
      </c>
    </row>
    <row r="558" ht="15" customHeight="1" s="59">
      <c r="A558" s="75" t="n"/>
      <c r="B558" s="74" t="n"/>
      <c r="C558" s="74" t="n"/>
      <c r="D558" s="74" t="n"/>
      <c r="E558" s="74" t="n"/>
      <c r="F558" s="74" t="n"/>
      <c r="G558" s="89" t="n"/>
      <c r="H558" s="79" t="n"/>
      <c r="I558" s="90">
        <f>IF(A558="","",TEXT(A558,"yyyy-mm"))</f>
        <v/>
      </c>
      <c r="J558" s="90">
        <f>IF(D558="","",IF(AND(D558="Ingreso",H558&gt;0),"OK",IF(AND(D558="Gasto",H558&lt;0),"OK","⚠ Revisar signo")))</f>
        <v/>
      </c>
    </row>
    <row r="559" ht="15" customHeight="1" s="59">
      <c r="A559" s="75" t="n"/>
      <c r="B559" s="74" t="n"/>
      <c r="C559" s="74" t="n"/>
      <c r="D559" s="74" t="n"/>
      <c r="E559" s="74" t="n"/>
      <c r="F559" s="74" t="n"/>
      <c r="G559" s="89" t="n"/>
      <c r="H559" s="79" t="n"/>
      <c r="I559" s="90">
        <f>IF(A559="","",TEXT(A559,"yyyy-mm"))</f>
        <v/>
      </c>
      <c r="J559" s="90">
        <f>IF(D559="","",IF(AND(D559="Ingreso",H559&gt;0),"OK",IF(AND(D559="Gasto",H559&lt;0),"OK","⚠ Revisar signo")))</f>
        <v/>
      </c>
    </row>
    <row r="560" ht="15" customHeight="1" s="59">
      <c r="A560" s="75" t="n"/>
      <c r="B560" s="74" t="n"/>
      <c r="C560" s="74" t="n"/>
      <c r="D560" s="74" t="n"/>
      <c r="E560" s="74" t="n"/>
      <c r="F560" s="74" t="n"/>
      <c r="G560" s="89" t="n"/>
      <c r="H560" s="79" t="n"/>
      <c r="I560" s="90">
        <f>IF(A560="","",TEXT(A560,"yyyy-mm"))</f>
        <v/>
      </c>
      <c r="J560" s="90">
        <f>IF(D560="","",IF(AND(D560="Ingreso",H560&gt;0),"OK",IF(AND(D560="Gasto",H560&lt;0),"OK","⚠ Revisar signo")))</f>
        <v/>
      </c>
    </row>
    <row r="561" ht="15" customHeight="1" s="59">
      <c r="A561" s="75" t="n"/>
      <c r="B561" s="74" t="n"/>
      <c r="C561" s="74" t="n"/>
      <c r="D561" s="74" t="n"/>
      <c r="E561" s="74" t="n"/>
      <c r="F561" s="74" t="n"/>
      <c r="G561" s="89" t="n"/>
      <c r="H561" s="79" t="n"/>
      <c r="I561" s="90">
        <f>IF(A561="","",TEXT(A561,"yyyy-mm"))</f>
        <v/>
      </c>
      <c r="J561" s="90">
        <f>IF(D561="","",IF(AND(D561="Ingreso",H561&gt;0),"OK",IF(AND(D561="Gasto",H561&lt;0),"OK","⚠ Revisar signo")))</f>
        <v/>
      </c>
    </row>
    <row r="562" ht="15" customHeight="1" s="59">
      <c r="A562" s="75" t="n"/>
      <c r="B562" s="74" t="n"/>
      <c r="C562" s="74" t="n"/>
      <c r="D562" s="74" t="n"/>
      <c r="E562" s="74" t="n"/>
      <c r="F562" s="74" t="n"/>
      <c r="G562" s="89" t="n"/>
      <c r="H562" s="79" t="n"/>
      <c r="I562" s="90">
        <f>IF(A562="","",TEXT(A562,"yyyy-mm"))</f>
        <v/>
      </c>
      <c r="J562" s="90">
        <f>IF(D562="","",IF(AND(D562="Ingreso",H562&gt;0),"OK",IF(AND(D562="Gasto",H562&lt;0),"OK","⚠ Revisar signo")))</f>
        <v/>
      </c>
    </row>
    <row r="563" ht="15" customHeight="1" s="59">
      <c r="A563" s="75" t="n"/>
      <c r="B563" s="74" t="n"/>
      <c r="C563" s="74" t="n"/>
      <c r="D563" s="74" t="n"/>
      <c r="E563" s="74" t="n"/>
      <c r="F563" s="74" t="n"/>
      <c r="G563" s="89" t="n"/>
      <c r="H563" s="79" t="n"/>
      <c r="I563" s="90">
        <f>IF(A563="","",TEXT(A563,"yyyy-mm"))</f>
        <v/>
      </c>
      <c r="J563" s="90">
        <f>IF(D563="","",IF(AND(D563="Ingreso",H563&gt;0),"OK",IF(AND(D563="Gasto",H563&lt;0),"OK","⚠ Revisar signo")))</f>
        <v/>
      </c>
    </row>
    <row r="564" ht="15" customHeight="1" s="59">
      <c r="A564" s="75" t="n"/>
      <c r="B564" s="74" t="n"/>
      <c r="C564" s="74" t="n"/>
      <c r="D564" s="74" t="n"/>
      <c r="E564" s="74" t="n"/>
      <c r="F564" s="74" t="n"/>
      <c r="G564" s="89" t="n"/>
      <c r="H564" s="79" t="n"/>
      <c r="I564" s="90">
        <f>IF(A564="","",TEXT(A564,"yyyy-mm"))</f>
        <v/>
      </c>
      <c r="J564" s="90">
        <f>IF(D564="","",IF(AND(D564="Ingreso",H564&gt;0),"OK",IF(AND(D564="Gasto",H564&lt;0),"OK","⚠ Revisar signo")))</f>
        <v/>
      </c>
    </row>
    <row r="565" ht="15" customHeight="1" s="59">
      <c r="A565" s="75" t="n"/>
      <c r="B565" s="74" t="n"/>
      <c r="C565" s="74" t="n"/>
      <c r="D565" s="74" t="n"/>
      <c r="E565" s="74" t="n"/>
      <c r="F565" s="74" t="n"/>
      <c r="G565" s="89" t="n"/>
      <c r="H565" s="79" t="n"/>
      <c r="I565" s="90">
        <f>IF(A565="","",TEXT(A565,"yyyy-mm"))</f>
        <v/>
      </c>
      <c r="J565" s="90">
        <f>IF(D565="","",IF(AND(D565="Ingreso",H565&gt;0),"OK",IF(AND(D565="Gasto",H565&lt;0),"OK","⚠ Revisar signo")))</f>
        <v/>
      </c>
    </row>
    <row r="566" ht="15" customHeight="1" s="59">
      <c r="A566" s="75" t="n"/>
      <c r="B566" s="74" t="n"/>
      <c r="C566" s="74" t="n"/>
      <c r="D566" s="74" t="n"/>
      <c r="E566" s="74" t="n"/>
      <c r="F566" s="74" t="n"/>
      <c r="G566" s="89" t="n"/>
      <c r="H566" s="79" t="n"/>
      <c r="I566" s="90">
        <f>IF(A566="","",TEXT(A566,"yyyy-mm"))</f>
        <v/>
      </c>
      <c r="J566" s="90">
        <f>IF(D566="","",IF(AND(D566="Ingreso",H566&gt;0),"OK",IF(AND(D566="Gasto",H566&lt;0),"OK","⚠ Revisar signo")))</f>
        <v/>
      </c>
    </row>
    <row r="567" ht="15" customHeight="1" s="59">
      <c r="A567" s="75" t="n"/>
      <c r="B567" s="74" t="n"/>
      <c r="C567" s="74" t="n"/>
      <c r="D567" s="74" t="n"/>
      <c r="E567" s="74" t="n"/>
      <c r="F567" s="74" t="n"/>
      <c r="G567" s="89" t="n"/>
      <c r="H567" s="79" t="n"/>
      <c r="I567" s="90">
        <f>IF(A567="","",TEXT(A567,"yyyy-mm"))</f>
        <v/>
      </c>
      <c r="J567" s="90">
        <f>IF(D567="","",IF(AND(D567="Ingreso",H567&gt;0),"OK",IF(AND(D567="Gasto",H567&lt;0),"OK","⚠ Revisar signo")))</f>
        <v/>
      </c>
    </row>
    <row r="568" ht="15" customHeight="1" s="59">
      <c r="A568" s="75" t="n"/>
      <c r="B568" s="74" t="n"/>
      <c r="C568" s="74" t="n"/>
      <c r="D568" s="74" t="n"/>
      <c r="E568" s="74" t="n"/>
      <c r="F568" s="74" t="n"/>
      <c r="G568" s="89" t="n"/>
      <c r="H568" s="79" t="n"/>
      <c r="I568" s="90">
        <f>IF(A568="","",TEXT(A568,"yyyy-mm"))</f>
        <v/>
      </c>
      <c r="J568" s="90">
        <f>IF(D568="","",IF(AND(D568="Ingreso",H568&gt;0),"OK",IF(AND(D568="Gasto",H568&lt;0),"OK","⚠ Revisar signo")))</f>
        <v/>
      </c>
    </row>
    <row r="569" ht="15" customHeight="1" s="59">
      <c r="A569" s="75" t="n"/>
      <c r="B569" s="74" t="n"/>
      <c r="C569" s="74" t="n"/>
      <c r="D569" s="74" t="n"/>
      <c r="E569" s="74" t="n"/>
      <c r="F569" s="74" t="n"/>
      <c r="G569" s="89" t="n"/>
      <c r="H569" s="79" t="n"/>
      <c r="I569" s="90">
        <f>IF(A569="","",TEXT(A569,"yyyy-mm"))</f>
        <v/>
      </c>
      <c r="J569" s="90">
        <f>IF(D569="","",IF(AND(D569="Ingreso",H569&gt;0),"OK",IF(AND(D569="Gasto",H569&lt;0),"OK","⚠ Revisar signo")))</f>
        <v/>
      </c>
    </row>
    <row r="570" ht="15" customHeight="1" s="59">
      <c r="A570" s="75" t="n"/>
      <c r="B570" s="74" t="n"/>
      <c r="C570" s="74" t="n"/>
      <c r="D570" s="74" t="n"/>
      <c r="E570" s="74" t="n"/>
      <c r="F570" s="74" t="n"/>
      <c r="G570" s="89" t="n"/>
      <c r="H570" s="79" t="n"/>
      <c r="I570" s="90">
        <f>IF(A570="","",TEXT(A570,"yyyy-mm"))</f>
        <v/>
      </c>
      <c r="J570" s="90">
        <f>IF(D570="","",IF(AND(D570="Ingreso",H570&gt;0),"OK",IF(AND(D570="Gasto",H570&lt;0),"OK","⚠ Revisar signo")))</f>
        <v/>
      </c>
    </row>
    <row r="571" ht="15" customHeight="1" s="59">
      <c r="A571" s="75" t="n"/>
      <c r="B571" s="74" t="n"/>
      <c r="C571" s="74" t="n"/>
      <c r="D571" s="74" t="n"/>
      <c r="E571" s="74" t="n"/>
      <c r="F571" s="74" t="n"/>
      <c r="G571" s="89" t="n"/>
      <c r="H571" s="79" t="n"/>
      <c r="I571" s="90">
        <f>IF(A571="","",TEXT(A571,"yyyy-mm"))</f>
        <v/>
      </c>
      <c r="J571" s="90">
        <f>IF(D571="","",IF(AND(D571="Ingreso",H571&gt;0),"OK",IF(AND(D571="Gasto",H571&lt;0),"OK","⚠ Revisar signo")))</f>
        <v/>
      </c>
    </row>
    <row r="572" ht="15" customHeight="1" s="59">
      <c r="A572" s="75" t="n"/>
      <c r="B572" s="74" t="n"/>
      <c r="C572" s="74" t="n"/>
      <c r="D572" s="74" t="n"/>
      <c r="E572" s="74" t="n"/>
      <c r="F572" s="74" t="n"/>
      <c r="G572" s="89" t="n"/>
      <c r="H572" s="79" t="n"/>
      <c r="I572" s="90">
        <f>IF(A572="","",TEXT(A572,"yyyy-mm"))</f>
        <v/>
      </c>
      <c r="J572" s="90">
        <f>IF(D572="","",IF(AND(D572="Ingreso",H572&gt;0),"OK",IF(AND(D572="Gasto",H572&lt;0),"OK","⚠ Revisar signo")))</f>
        <v/>
      </c>
    </row>
    <row r="573" ht="15" customHeight="1" s="59">
      <c r="A573" s="75" t="n"/>
      <c r="B573" s="74" t="n"/>
      <c r="C573" s="74" t="n"/>
      <c r="D573" s="74" t="n"/>
      <c r="E573" s="74" t="n"/>
      <c r="F573" s="74" t="n"/>
      <c r="G573" s="89" t="n"/>
      <c r="H573" s="79" t="n"/>
      <c r="I573" s="90">
        <f>IF(A573="","",TEXT(A573,"yyyy-mm"))</f>
        <v/>
      </c>
      <c r="J573" s="90">
        <f>IF(D573="","",IF(AND(D573="Ingreso",H573&gt;0),"OK",IF(AND(D573="Gasto",H573&lt;0),"OK","⚠ Revisar signo")))</f>
        <v/>
      </c>
    </row>
    <row r="574" ht="15" customHeight="1" s="59">
      <c r="A574" s="75" t="n"/>
      <c r="B574" s="74" t="n"/>
      <c r="C574" s="74" t="n"/>
      <c r="D574" s="74" t="n"/>
      <c r="E574" s="74" t="n"/>
      <c r="F574" s="74" t="n"/>
      <c r="G574" s="89" t="n"/>
      <c r="H574" s="79" t="n"/>
      <c r="I574" s="90">
        <f>IF(A574="","",TEXT(A574,"yyyy-mm"))</f>
        <v/>
      </c>
      <c r="J574" s="90">
        <f>IF(D574="","",IF(AND(D574="Ingreso",H574&gt;0),"OK",IF(AND(D574="Gasto",H574&lt;0),"OK","⚠ Revisar signo")))</f>
        <v/>
      </c>
    </row>
    <row r="575" ht="15" customHeight="1" s="59">
      <c r="A575" s="75" t="n"/>
      <c r="B575" s="74" t="n"/>
      <c r="C575" s="74" t="n"/>
      <c r="D575" s="74" t="n"/>
      <c r="E575" s="74" t="n"/>
      <c r="F575" s="74" t="n"/>
      <c r="G575" s="89" t="n"/>
      <c r="H575" s="79" t="n"/>
      <c r="I575" s="90">
        <f>IF(A575="","",TEXT(A575,"yyyy-mm"))</f>
        <v/>
      </c>
      <c r="J575" s="90">
        <f>IF(D575="","",IF(AND(D575="Ingreso",H575&gt;0),"OK",IF(AND(D575="Gasto",H575&lt;0),"OK","⚠ Revisar signo")))</f>
        <v/>
      </c>
    </row>
    <row r="576" ht="15" customHeight="1" s="59">
      <c r="A576" s="75" t="n"/>
      <c r="B576" s="74" t="n"/>
      <c r="C576" s="74" t="n"/>
      <c r="D576" s="74" t="n"/>
      <c r="E576" s="74" t="n"/>
      <c r="F576" s="74" t="n"/>
      <c r="G576" s="89" t="n"/>
      <c r="H576" s="79" t="n"/>
      <c r="I576" s="90">
        <f>IF(A576="","",TEXT(A576,"yyyy-mm"))</f>
        <v/>
      </c>
      <c r="J576" s="90">
        <f>IF(D576="","",IF(AND(D576="Ingreso",H576&gt;0),"OK",IF(AND(D576="Gasto",H576&lt;0),"OK","⚠ Revisar signo")))</f>
        <v/>
      </c>
    </row>
    <row r="577" ht="15" customHeight="1" s="59">
      <c r="A577" s="75" t="n"/>
      <c r="B577" s="74" t="n"/>
      <c r="C577" s="74" t="n"/>
      <c r="D577" s="74" t="n"/>
      <c r="E577" s="74" t="n"/>
      <c r="F577" s="74" t="n"/>
      <c r="G577" s="89" t="n"/>
      <c r="H577" s="79" t="n"/>
      <c r="I577" s="90">
        <f>IF(A577="","",TEXT(A577,"yyyy-mm"))</f>
        <v/>
      </c>
      <c r="J577" s="90">
        <f>IF(D577="","",IF(AND(D577="Ingreso",H577&gt;0),"OK",IF(AND(D577="Gasto",H577&lt;0),"OK","⚠ Revisar signo")))</f>
        <v/>
      </c>
    </row>
    <row r="578" ht="15" customHeight="1" s="59">
      <c r="A578" s="75" t="n"/>
      <c r="B578" s="74" t="n"/>
      <c r="C578" s="74" t="n"/>
      <c r="D578" s="74" t="n"/>
      <c r="E578" s="74" t="n"/>
      <c r="F578" s="74" t="n"/>
      <c r="G578" s="89" t="n"/>
      <c r="H578" s="79" t="n"/>
      <c r="I578" s="90">
        <f>IF(A578="","",TEXT(A578,"yyyy-mm"))</f>
        <v/>
      </c>
      <c r="J578" s="90">
        <f>IF(D578="","",IF(AND(D578="Ingreso",H578&gt;0),"OK",IF(AND(D578="Gasto",H578&lt;0),"OK","⚠ Revisar signo")))</f>
        <v/>
      </c>
    </row>
    <row r="579" ht="15" customHeight="1" s="59">
      <c r="A579" s="75" t="n"/>
      <c r="B579" s="74" t="n"/>
      <c r="C579" s="74" t="n"/>
      <c r="D579" s="74" t="n"/>
      <c r="E579" s="74" t="n"/>
      <c r="F579" s="74" t="n"/>
      <c r="G579" s="89" t="n"/>
      <c r="H579" s="79" t="n"/>
      <c r="I579" s="90">
        <f>IF(A579="","",TEXT(A579,"yyyy-mm"))</f>
        <v/>
      </c>
      <c r="J579" s="90">
        <f>IF(D579="","",IF(AND(D579="Ingreso",H579&gt;0),"OK",IF(AND(D579="Gasto",H579&lt;0),"OK","⚠ Revisar signo")))</f>
        <v/>
      </c>
    </row>
    <row r="580" ht="15" customHeight="1" s="59">
      <c r="A580" s="75" t="n"/>
      <c r="B580" s="74" t="n"/>
      <c r="C580" s="74" t="n"/>
      <c r="D580" s="74" t="n"/>
      <c r="E580" s="74" t="n"/>
      <c r="F580" s="74" t="n"/>
      <c r="G580" s="89" t="n"/>
      <c r="H580" s="79" t="n"/>
      <c r="I580" s="90">
        <f>IF(A580="","",TEXT(A580,"yyyy-mm"))</f>
        <v/>
      </c>
      <c r="J580" s="90">
        <f>IF(D580="","",IF(AND(D580="Ingreso",H580&gt;0),"OK",IF(AND(D580="Gasto",H580&lt;0),"OK","⚠ Revisar signo")))</f>
        <v/>
      </c>
    </row>
    <row r="581" ht="15" customHeight="1" s="59">
      <c r="A581" s="75" t="n"/>
      <c r="B581" s="74" t="n"/>
      <c r="C581" s="74" t="n"/>
      <c r="D581" s="74" t="n"/>
      <c r="E581" s="74" t="n"/>
      <c r="F581" s="74" t="n"/>
      <c r="G581" s="89" t="n"/>
      <c r="H581" s="79" t="n"/>
      <c r="I581" s="90">
        <f>IF(A581="","",TEXT(A581,"yyyy-mm"))</f>
        <v/>
      </c>
      <c r="J581" s="90">
        <f>IF(D581="","",IF(AND(D581="Ingreso",H581&gt;0),"OK",IF(AND(D581="Gasto",H581&lt;0),"OK","⚠ Revisar signo")))</f>
        <v/>
      </c>
    </row>
    <row r="582" ht="15" customHeight="1" s="59">
      <c r="A582" s="75" t="n"/>
      <c r="B582" s="74" t="n"/>
      <c r="C582" s="74" t="n"/>
      <c r="D582" s="74" t="n"/>
      <c r="E582" s="74" t="n"/>
      <c r="F582" s="74" t="n"/>
      <c r="G582" s="89" t="n"/>
      <c r="H582" s="79" t="n"/>
      <c r="I582" s="90">
        <f>IF(A582="","",TEXT(A582,"yyyy-mm"))</f>
        <v/>
      </c>
      <c r="J582" s="90">
        <f>IF(D582="","",IF(AND(D582="Ingreso",H582&gt;0),"OK",IF(AND(D582="Gasto",H582&lt;0),"OK","⚠ Revisar signo")))</f>
        <v/>
      </c>
    </row>
    <row r="583" ht="15" customHeight="1" s="59">
      <c r="A583" s="75" t="n"/>
      <c r="B583" s="74" t="n"/>
      <c r="C583" s="74" t="n"/>
      <c r="D583" s="74" t="n"/>
      <c r="E583" s="74" t="n"/>
      <c r="F583" s="74" t="n"/>
      <c r="G583" s="89" t="n"/>
      <c r="H583" s="79" t="n"/>
      <c r="I583" s="90">
        <f>IF(A583="","",TEXT(A583,"yyyy-mm"))</f>
        <v/>
      </c>
      <c r="J583" s="90">
        <f>IF(D583="","",IF(AND(D583="Ingreso",H583&gt;0),"OK",IF(AND(D583="Gasto",H583&lt;0),"OK","⚠ Revisar signo")))</f>
        <v/>
      </c>
    </row>
    <row r="584" ht="15" customHeight="1" s="59">
      <c r="A584" s="75" t="n"/>
      <c r="B584" s="74" t="n"/>
      <c r="C584" s="74" t="n"/>
      <c r="D584" s="74" t="n"/>
      <c r="E584" s="74" t="n"/>
      <c r="F584" s="74" t="n"/>
      <c r="G584" s="89" t="n"/>
      <c r="H584" s="79" t="n"/>
      <c r="I584" s="90">
        <f>IF(A584="","",TEXT(A584,"yyyy-mm"))</f>
        <v/>
      </c>
      <c r="J584" s="90">
        <f>IF(D584="","",IF(AND(D584="Ingreso",H584&gt;0),"OK",IF(AND(D584="Gasto",H584&lt;0),"OK","⚠ Revisar signo")))</f>
        <v/>
      </c>
    </row>
    <row r="585" ht="15" customHeight="1" s="59">
      <c r="A585" s="75" t="n"/>
      <c r="B585" s="74" t="n"/>
      <c r="C585" s="74" t="n"/>
      <c r="D585" s="74" t="n"/>
      <c r="E585" s="74" t="n"/>
      <c r="F585" s="74" t="n"/>
      <c r="G585" s="89" t="n"/>
      <c r="H585" s="79" t="n"/>
      <c r="I585" s="90">
        <f>IF(A585="","",TEXT(A585,"yyyy-mm"))</f>
        <v/>
      </c>
      <c r="J585" s="90">
        <f>IF(D585="","",IF(AND(D585="Ingreso",H585&gt;0),"OK",IF(AND(D585="Gasto",H585&lt;0),"OK","⚠ Revisar signo")))</f>
        <v/>
      </c>
    </row>
    <row r="586" ht="15" customHeight="1" s="59">
      <c r="A586" s="75" t="n"/>
      <c r="B586" s="74" t="n"/>
      <c r="C586" s="74" t="n"/>
      <c r="D586" s="74" t="n"/>
      <c r="E586" s="74" t="n"/>
      <c r="F586" s="74" t="n"/>
      <c r="G586" s="89" t="n"/>
      <c r="H586" s="79" t="n"/>
      <c r="I586" s="90">
        <f>IF(A586="","",TEXT(A586,"yyyy-mm"))</f>
        <v/>
      </c>
      <c r="J586" s="90">
        <f>IF(D586="","",IF(AND(D586="Ingreso",H586&gt;0),"OK",IF(AND(D586="Gasto",H586&lt;0),"OK","⚠ Revisar signo")))</f>
        <v/>
      </c>
    </row>
    <row r="587" ht="15" customHeight="1" s="59">
      <c r="A587" s="75" t="n"/>
      <c r="B587" s="74" t="n"/>
      <c r="C587" s="74" t="n"/>
      <c r="D587" s="74" t="n"/>
      <c r="E587" s="74" t="n"/>
      <c r="F587" s="74" t="n"/>
      <c r="G587" s="89" t="n"/>
      <c r="H587" s="79" t="n"/>
      <c r="I587" s="90">
        <f>IF(A587="","",TEXT(A587,"yyyy-mm"))</f>
        <v/>
      </c>
      <c r="J587" s="90">
        <f>IF(D587="","",IF(AND(D587="Ingreso",H587&gt;0),"OK",IF(AND(D587="Gasto",H587&lt;0),"OK","⚠ Revisar signo")))</f>
        <v/>
      </c>
    </row>
    <row r="588" ht="15" customHeight="1" s="59">
      <c r="A588" s="75" t="n"/>
      <c r="B588" s="74" t="n"/>
      <c r="C588" s="74" t="n"/>
      <c r="D588" s="74" t="n"/>
      <c r="E588" s="74" t="n"/>
      <c r="F588" s="74" t="n"/>
      <c r="G588" s="89" t="n"/>
      <c r="H588" s="79" t="n"/>
      <c r="I588" s="90">
        <f>IF(A588="","",TEXT(A588,"yyyy-mm"))</f>
        <v/>
      </c>
      <c r="J588" s="90">
        <f>IF(D588="","",IF(AND(D588="Ingreso",H588&gt;0),"OK",IF(AND(D588="Gasto",H588&lt;0),"OK","⚠ Revisar signo")))</f>
        <v/>
      </c>
    </row>
    <row r="589" ht="15" customHeight="1" s="59">
      <c r="A589" s="75" t="n"/>
      <c r="B589" s="74" t="n"/>
      <c r="C589" s="74" t="n"/>
      <c r="D589" s="74" t="n"/>
      <c r="E589" s="74" t="n"/>
      <c r="F589" s="74" t="n"/>
      <c r="G589" s="89" t="n"/>
      <c r="H589" s="79" t="n"/>
      <c r="I589" s="90">
        <f>IF(A589="","",TEXT(A589,"yyyy-mm"))</f>
        <v/>
      </c>
      <c r="J589" s="90">
        <f>IF(D589="","",IF(AND(D589="Ingreso",H589&gt;0),"OK",IF(AND(D589="Gasto",H589&lt;0),"OK","⚠ Revisar signo")))</f>
        <v/>
      </c>
    </row>
    <row r="590" ht="15" customHeight="1" s="59">
      <c r="A590" s="75" t="n"/>
      <c r="B590" s="74" t="n"/>
      <c r="C590" s="74" t="n"/>
      <c r="D590" s="74" t="n"/>
      <c r="E590" s="74" t="n"/>
      <c r="F590" s="74" t="n"/>
      <c r="G590" s="89" t="n"/>
      <c r="H590" s="79" t="n"/>
      <c r="I590" s="90">
        <f>IF(A590="","",TEXT(A590,"yyyy-mm"))</f>
        <v/>
      </c>
      <c r="J590" s="90">
        <f>IF(D590="","",IF(AND(D590="Ingreso",H590&gt;0),"OK",IF(AND(D590="Gasto",H590&lt;0),"OK","⚠ Revisar signo")))</f>
        <v/>
      </c>
    </row>
    <row r="591" ht="15" customHeight="1" s="59">
      <c r="A591" s="75" t="n"/>
      <c r="B591" s="74" t="n"/>
      <c r="C591" s="74" t="n"/>
      <c r="D591" s="74" t="n"/>
      <c r="E591" s="74" t="n"/>
      <c r="F591" s="74" t="n"/>
      <c r="G591" s="89" t="n"/>
      <c r="H591" s="79" t="n"/>
      <c r="I591" s="90">
        <f>IF(A591="","",TEXT(A591,"yyyy-mm"))</f>
        <v/>
      </c>
      <c r="J591" s="90">
        <f>IF(D591="","",IF(AND(D591="Ingreso",H591&gt;0),"OK",IF(AND(D591="Gasto",H591&lt;0),"OK","⚠ Revisar signo")))</f>
        <v/>
      </c>
    </row>
    <row r="592" ht="15" customHeight="1" s="59">
      <c r="A592" s="75" t="n"/>
      <c r="B592" s="74" t="n"/>
      <c r="C592" s="74" t="n"/>
      <c r="D592" s="74" t="n"/>
      <c r="E592" s="74" t="n"/>
      <c r="F592" s="74" t="n"/>
      <c r="G592" s="89" t="n"/>
      <c r="H592" s="79" t="n"/>
      <c r="I592" s="90">
        <f>IF(A592="","",TEXT(A592,"yyyy-mm"))</f>
        <v/>
      </c>
      <c r="J592" s="90">
        <f>IF(D592="","",IF(AND(D592="Ingreso",H592&gt;0),"OK",IF(AND(D592="Gasto",H592&lt;0),"OK","⚠ Revisar signo")))</f>
        <v/>
      </c>
    </row>
    <row r="593" ht="15" customHeight="1" s="59">
      <c r="A593" s="75" t="n"/>
      <c r="B593" s="74" t="n"/>
      <c r="C593" s="74" t="n"/>
      <c r="D593" s="74" t="n"/>
      <c r="E593" s="74" t="n"/>
      <c r="F593" s="74" t="n"/>
      <c r="G593" s="89" t="n"/>
      <c r="H593" s="79" t="n"/>
      <c r="I593" s="90">
        <f>IF(A593="","",TEXT(A593,"yyyy-mm"))</f>
        <v/>
      </c>
      <c r="J593" s="90">
        <f>IF(D593="","",IF(AND(D593="Ingreso",H593&gt;0),"OK",IF(AND(D593="Gasto",H593&lt;0),"OK","⚠ Revisar signo")))</f>
        <v/>
      </c>
    </row>
    <row r="594" ht="15" customHeight="1" s="59">
      <c r="A594" s="75" t="n"/>
      <c r="B594" s="74" t="n"/>
      <c r="C594" s="74" t="n"/>
      <c r="D594" s="74" t="n"/>
      <c r="E594" s="74" t="n"/>
      <c r="F594" s="74" t="n"/>
      <c r="G594" s="89" t="n"/>
      <c r="H594" s="79" t="n"/>
      <c r="I594" s="90">
        <f>IF(A594="","",TEXT(A594,"yyyy-mm"))</f>
        <v/>
      </c>
      <c r="J594" s="90">
        <f>IF(D594="","",IF(AND(D594="Ingreso",H594&gt;0),"OK",IF(AND(D594="Gasto",H594&lt;0),"OK","⚠ Revisar signo")))</f>
        <v/>
      </c>
    </row>
  </sheetData>
  <conditionalFormatting sqref="J2:J594">
    <cfRule type="cellIs" rank="0" priority="2" equalAverage="0" operator="equal" aboveAverage="0" dxfId="6" text="" percent="0" bottom="0">
      <formula>"⚠ Revisar signo"</formula>
    </cfRule>
    <cfRule type="cellIs" rank="0" priority="3" equalAverage="0" operator="equal" aboveAverage="0" dxfId="7" text="" percent="0" bottom="0">
      <formula>"OK"</formula>
    </cfRule>
  </conditionalFormatting>
  <dataValidations count="4">
    <dataValidation sqref="B2:B594" showDropDown="0" showInputMessage="0" showErrorMessage="1" allowBlank="1" errorTitle="Placa inválida" error="Selecciona una placa registrada en &quot;Vehículos&quot;." type="list" errorStyle="stop" operator="between">
      <formula1>rng_Placas</formula1>
      <formula2>0</formula2>
    </dataValidation>
    <dataValidation sqref="C2:C594" showDropDown="0" showInputMessage="0" showErrorMessage="1" allowBlank="1" errorTitle="Conductor inválido" error="Selecciona un conductor registrado en &quot;Conductores&quot;." type="list" errorStyle="stop" operator="between">
      <formula1>rng_Conductores</formula1>
      <formula2>0</formula2>
    </dataValidation>
    <dataValidation sqref="E2:E594" showDropDown="0" showInputMessage="0" showErrorMessage="1" allowBlank="1" errorTitle="Categoría inválida" error="Selecciona una categoría registrada en &quot;Categorías&quot;." type="list" errorStyle="stop" operator="between">
      <formula1>rng_Categorias</formula1>
      <formula2>0</formula2>
    </dataValidation>
    <dataValidation sqref="D2:D594" showDropDown="0" showInputMessage="0" showErrorMessage="1" allowBlank="1" errorTitle="Tipo inválido" error="El tipo debe ser &quot;Ingreso&quot; o &quot;Gasto&quot;." type="list" errorStyle="stop" operator="between">
      <formula1>"Ingreso,Gasto"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Z5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64" min="1" max="1"/>
    <col width="18" customWidth="1" style="64" min="2" max="3"/>
    <col width="16" customWidth="1" style="64" min="4" max="4"/>
    <col width="14" customWidth="1" style="64" min="5" max="5"/>
    <col width="16" customWidth="1" style="64" min="6" max="6"/>
    <col width="14" customWidth="1" style="64" min="7" max="8"/>
    <col hidden="1" width="13" customWidth="1" style="64" min="26" max="26"/>
  </cols>
  <sheetData>
    <row r="2" ht="22.05" customHeight="1" s="59">
      <c r="B2" s="91" t="inlineStr">
        <is>
          <t>INDICADORES POR VEHÍCULO</t>
        </is>
      </c>
      <c r="Z2" s="92">
        <f>IF(Movimientos!B2=$G$4,Movimientos!A2,"")</f>
        <v/>
      </c>
    </row>
    <row r="3" ht="15" customHeight="1" s="59">
      <c r="Z3" s="64">
        <f>IF(Movimientos!B3=$G$4,Movimientos!A3,"")</f>
        <v/>
      </c>
    </row>
    <row r="4" ht="27.75" customHeight="1" s="59">
      <c r="B4" s="93" t="inlineStr">
        <is>
          <t>Cambia la placa para ver los indicadores de otro vehículo →</t>
        </is>
      </c>
      <c r="G4" s="94" t="inlineStr">
        <is>
          <t>UUO-808</t>
        </is>
      </c>
      <c r="Z4" s="92">
        <f>IF(Movimientos!B4=$G$4,Movimientos!A4,"")</f>
        <v/>
      </c>
    </row>
    <row r="5" ht="15" customHeight="1" s="59">
      <c r="B5" s="95" t="inlineStr">
        <is>
          <t>Dueño:</t>
        </is>
      </c>
      <c r="C5" s="96">
        <f>IFERROR(VLOOKUP(G4,Vehículos!A:E,5,FALSE()),"-")</f>
        <v/>
      </c>
      <c r="Z5" s="92">
        <f>IF(Movimientos!B5=$G$4,Movimientos!A5,"")</f>
        <v/>
      </c>
    </row>
    <row r="6" ht="15" customHeight="1" s="59">
      <c r="Z6" s="92">
        <f>IF(Movimientos!B6=$G$4,Movimientos!A6,"")</f>
        <v/>
      </c>
    </row>
    <row r="7" ht="15" customHeight="1" s="59">
      <c r="B7" s="97" t="inlineStr">
        <is>
          <t>RESULTADO FINANCIERO</t>
        </is>
      </c>
      <c r="Z7" s="92">
        <f>IF(Movimientos!B7=$G$4,Movimientos!A7,"")</f>
        <v/>
      </c>
    </row>
    <row r="8" ht="27.75" customHeight="1" s="59">
      <c r="B8" s="98" t="inlineStr">
        <is>
          <t>INGRESOS BRUTOS</t>
        </is>
      </c>
      <c r="C8" s="99" t="n"/>
      <c r="D8" s="99" t="n"/>
      <c r="E8" s="100" t="n"/>
      <c r="F8" s="101">
        <f>SUMIFS(Movimientos!H2:H594,Movimientos!B2:B594,G4,Movimientos!D2:D594,"Ingreso")</f>
        <v/>
      </c>
      <c r="G8" s="99" t="n"/>
      <c r="H8" s="100" t="n"/>
      <c r="Z8" s="92">
        <f>IF(Movimientos!B8=$G$4,Movimientos!A8,"")</f>
        <v/>
      </c>
    </row>
    <row r="9" ht="27.75" customHeight="1" s="59">
      <c r="B9" s="102" t="inlineStr">
        <is>
          <t>COMISIÓN ADMINISTRACIÓN</t>
        </is>
      </c>
      <c r="C9" s="99" t="n"/>
      <c r="D9" s="99" t="n"/>
      <c r="E9" s="100" t="n"/>
      <c r="F9" s="101">
        <f>SUMIFS(Movimientos!H2:H594,Movimientos!B2:B594,G4,Movimientos!E2:E594,"Gasto administrativo")</f>
        <v/>
      </c>
      <c r="G9" s="99" t="n"/>
      <c r="H9" s="100" t="n"/>
      <c r="Z9" s="92">
        <f>IF(Movimientos!B9=$G$4,Movimientos!A9,"")</f>
        <v/>
      </c>
    </row>
    <row r="10" ht="27.75" customHeight="1" s="59">
      <c r="B10" s="103" t="inlineStr">
        <is>
          <t>GASTOS OPERATIVOS (repuestos, mano de obra, etc.)</t>
        </is>
      </c>
      <c r="C10" s="99" t="n"/>
      <c r="D10" s="99" t="n"/>
      <c r="E10" s="100" t="n"/>
      <c r="F10" s="101">
        <f>SUMIFS(Movimientos!H2:H594,Movimientos!B2:B594,G4,Movimientos!D2:D594,"Gasto")-SUMIFS(Movimientos!H2:H594,Movimientos!B2:B594,G4,Movimientos!E2:E594,"Gasto administrativo")</f>
        <v/>
      </c>
      <c r="G10" s="99" t="n"/>
      <c r="H10" s="100" t="n"/>
      <c r="Z10" s="92">
        <f>IF(Movimientos!B10=$G$4,Movimientos!A10,"")</f>
        <v/>
      </c>
    </row>
    <row r="11" ht="27.75" customHeight="1" s="59">
      <c r="B11" s="104" t="inlineStr">
        <is>
          <t>NETO AL DUEÑO</t>
        </is>
      </c>
      <c r="C11" s="99" t="n"/>
      <c r="D11" s="99" t="n"/>
      <c r="E11" s="100" t="n"/>
      <c r="F11" s="101">
        <f>SUMIFS(Movimientos!H2:H594,Movimientos!B2:B594,G4)</f>
        <v/>
      </c>
      <c r="G11" s="99" t="n"/>
      <c r="H11" s="100" t="n"/>
      <c r="Z11" s="92">
        <f>IF(Movimientos!B11=$G$4,Movimientos!A11,"")</f>
        <v/>
      </c>
    </row>
    <row r="12" ht="27.75" customHeight="1" s="59">
      <c r="B12" s="104" t="inlineStr">
        <is>
          <t>MARGEN %</t>
        </is>
      </c>
      <c r="C12" s="99" t="n"/>
      <c r="D12" s="99" t="n"/>
      <c r="E12" s="100" t="n"/>
      <c r="F12" s="105">
        <f>IFERROR(SUMIFS(Movimientos!H2:H594,Movimientos!B2:B594,G4)/SUMIFS(Movimientos!H2:H594,Movimientos!B2:B594,G4,Movimientos!D2:D594,"Ingreso"),"-")</f>
        <v/>
      </c>
      <c r="G12" s="99" t="n"/>
      <c r="H12" s="100" t="n"/>
      <c r="Z12" s="92">
        <f>IF(Movimientos!B12=$G$4,Movimientos!A12,"")</f>
        <v/>
      </c>
    </row>
    <row r="13" ht="15" customHeight="1" s="59">
      <c r="Z13" s="92">
        <f>IF(Movimientos!B13=$G$4,Movimientos!A13,"")</f>
        <v/>
      </c>
    </row>
    <row r="14" ht="15" customHeight="1" s="59">
      <c r="B14" s="106" t="inlineStr">
        <is>
          <t>OPERACIÓN</t>
        </is>
      </c>
      <c r="Z14" s="64">
        <f>IF(Movimientos!B14=$G$4,Movimientos!A14,"")</f>
        <v/>
      </c>
    </row>
    <row r="15" ht="25.5" customHeight="1" s="59">
      <c r="B15" s="104" t="inlineStr">
        <is>
          <t># MOVIMIENTOS TOTALES</t>
        </is>
      </c>
      <c r="C15" s="99" t="n"/>
      <c r="D15" s="99" t="n"/>
      <c r="E15" s="100" t="n"/>
      <c r="F15" s="107">
        <f>COUNTIF(Movimientos!B2:B594,G4)</f>
        <v/>
      </c>
      <c r="G15" s="99" t="n"/>
      <c r="H15" s="100" t="n"/>
      <c r="Z15" s="92">
        <f>IF(Movimientos!B15=$G$4,Movimientos!A15,"")</f>
        <v/>
      </c>
    </row>
    <row r="16" ht="25.5" customHeight="1" s="59">
      <c r="B16" s="104" t="inlineStr">
        <is>
          <t># LIQUIDACIONES</t>
        </is>
      </c>
      <c r="C16" s="99" t="n"/>
      <c r="D16" s="99" t="n"/>
      <c r="E16" s="100" t="n"/>
      <c r="F16" s="107">
        <f>COUNTIFS(Movimientos!B2:B594,G4,Movimientos!E2:E594,"Liquidación")</f>
        <v/>
      </c>
      <c r="G16" s="99" t="n"/>
      <c r="H16" s="100" t="n"/>
      <c r="Z16" s="92">
        <f>IF(Movimientos!B16=$G$4,Movimientos!A16,"")</f>
        <v/>
      </c>
    </row>
    <row r="17" ht="25.5" customHeight="1" s="59">
      <c r="B17" s="104" t="inlineStr">
        <is>
          <t>PRIMER MOVIMIENTO</t>
        </is>
      </c>
      <c r="C17" s="99" t="n"/>
      <c r="D17" s="99" t="n"/>
      <c r="E17" s="100" t="n"/>
      <c r="F17" s="108">
        <f>IFERROR(MIN(Z:Z),"-")</f>
        <v/>
      </c>
      <c r="G17" s="99" t="n"/>
      <c r="H17" s="100" t="n"/>
      <c r="Z17" s="92">
        <f>IF(Movimientos!B17=$G$4,Movimientos!A17,"")</f>
        <v/>
      </c>
    </row>
    <row r="18" ht="25.5" customHeight="1" s="59">
      <c r="B18" s="104" t="inlineStr">
        <is>
          <t>ÚLTIMO MOVIMIENTO</t>
        </is>
      </c>
      <c r="C18" s="99" t="n"/>
      <c r="D18" s="99" t="n"/>
      <c r="E18" s="100" t="n"/>
      <c r="F18" s="108">
        <f>IFERROR(MAX(Z:Z),"-")</f>
        <v/>
      </c>
      <c r="G18" s="99" t="n"/>
      <c r="H18" s="100" t="n"/>
      <c r="Z18" s="92">
        <f>IF(Movimientos!B18=$G$4,Movimientos!A18,"")</f>
        <v/>
      </c>
    </row>
    <row r="19" ht="25.5" customHeight="1" s="59">
      <c r="B19" s="104" t="inlineStr">
        <is>
          <t>DÍAS DE OPERACIÓN</t>
        </is>
      </c>
      <c r="C19" s="99" t="n"/>
      <c r="D19" s="99" t="n"/>
      <c r="E19" s="100" t="n"/>
      <c r="F19" s="107">
        <f>IFERROR(MAX(Z:Z)-MIN(Z:Z)+1,"-")</f>
        <v/>
      </c>
      <c r="G19" s="99" t="n"/>
      <c r="H19" s="100" t="n"/>
      <c r="Z19" s="92">
        <f>IF(Movimientos!B19=$G$4,Movimientos!A19,"")</f>
        <v/>
      </c>
    </row>
    <row r="20" ht="25.5" customHeight="1" s="59">
      <c r="B20" s="104" t="inlineStr">
        <is>
          <t>UTILIDAD POR DÍA</t>
        </is>
      </c>
      <c r="C20" s="99" t="n"/>
      <c r="D20" s="99" t="n"/>
      <c r="E20" s="100" t="n"/>
      <c r="F20" s="101">
        <f>IFERROR(SUMIFS(Movimientos!H2:H594,Movimientos!B2:B594,G4)/(MAX(Z:Z)-MIN(Z:Z)+1),"-")</f>
        <v/>
      </c>
      <c r="G20" s="99" t="n"/>
      <c r="H20" s="100" t="n"/>
      <c r="Z20" s="92">
        <f>IF(Movimientos!B20=$G$4,Movimientos!A20,"")</f>
        <v/>
      </c>
    </row>
    <row r="21" ht="15" customHeight="1" s="59">
      <c r="Z21" s="92">
        <f>IF(Movimientos!B21=$G$4,Movimientos!A21,"")</f>
        <v/>
      </c>
    </row>
    <row r="22" ht="15" customHeight="1" s="59">
      <c r="B22" s="109" t="inlineStr">
        <is>
          <t>GASTOS POR CATEGORÍA</t>
        </is>
      </c>
      <c r="Z22" s="92">
        <f>IF(Movimientos!B22=$G$4,Movimientos!A22,"")</f>
        <v/>
      </c>
    </row>
    <row r="23" ht="15" customHeight="1" s="59">
      <c r="B23" s="73" t="inlineStr">
        <is>
          <t>Categoría</t>
        </is>
      </c>
      <c r="C23" s="99" t="n"/>
      <c r="D23" s="99" t="n"/>
      <c r="E23" s="100" t="n"/>
      <c r="F23" s="73" t="inlineStr">
        <is>
          <t>Total</t>
        </is>
      </c>
      <c r="G23" s="73" t="inlineStr">
        <is>
          <t>% del gasto</t>
        </is>
      </c>
      <c r="H23" s="100" t="n"/>
      <c r="Z23" s="92">
        <f>IF(Movimientos!B23=$G$4,Movimientos!A23,"")</f>
        <v/>
      </c>
    </row>
    <row r="24" ht="15" customHeight="1" s="59">
      <c r="B24" s="74" t="inlineStr">
        <is>
          <t>Repuesto</t>
        </is>
      </c>
      <c r="C24" s="99" t="n"/>
      <c r="D24" s="99" t="n"/>
      <c r="E24" s="100" t="n"/>
      <c r="F24" s="79">
        <f>SUMIFS(Movimientos!H2:H594,Movimientos!B2:B594,$G$4,Movimientos!E2:E594,B24)</f>
        <v/>
      </c>
      <c r="G24" s="110">
        <f>IFERROR(F24/SUMIFS(Movimientos!H2:H594,Movimientos!B2:B594,$G$4,Movimientos!D2:D594,"Gasto"),"-")</f>
        <v/>
      </c>
      <c r="H24" s="100" t="n"/>
      <c r="Z24" s="92">
        <f>IF(Movimientos!B24=$G$4,Movimientos!A24,"")</f>
        <v/>
      </c>
    </row>
    <row r="25" ht="15" customHeight="1" s="59">
      <c r="B25" s="74" t="inlineStr">
        <is>
          <t>Mantenimiento</t>
        </is>
      </c>
      <c r="C25" s="99" t="n"/>
      <c r="D25" s="99" t="n"/>
      <c r="E25" s="100" t="n"/>
      <c r="F25" s="79">
        <f>SUMIFS(Movimientos!H2:H594,Movimientos!B2:B594,$G$4,Movimientos!E2:E594,B25)</f>
        <v/>
      </c>
      <c r="G25" s="110">
        <f>IFERROR(F25/SUMIFS(Movimientos!H2:H594,Movimientos!B2:B594,$G$4,Movimientos!D2:D594,"Gasto"),"-")</f>
        <v/>
      </c>
      <c r="H25" s="100" t="n"/>
      <c r="Z25" s="92">
        <f>IF(Movimientos!B25=$G$4,Movimientos!A25,"")</f>
        <v/>
      </c>
    </row>
    <row r="26" ht="15" customHeight="1" s="59">
      <c r="B26" s="74" t="inlineStr">
        <is>
          <t>Mano de obra</t>
        </is>
      </c>
      <c r="C26" s="99" t="n"/>
      <c r="D26" s="99" t="n"/>
      <c r="E26" s="100" t="n"/>
      <c r="F26" s="79">
        <f>SUMIFS(Movimientos!H2:H594,Movimientos!B2:B594,$G$4,Movimientos!E2:E594,B26)</f>
        <v/>
      </c>
      <c r="G26" s="110">
        <f>IFERROR(F26/SUMIFS(Movimientos!H2:H594,Movimientos!B2:B594,$G$4,Movimientos!D2:D594,"Gasto"),"-")</f>
        <v/>
      </c>
      <c r="H26" s="100" t="n"/>
      <c r="Z26" s="92">
        <f>IF(Movimientos!B26=$G$4,Movimientos!A26,"")</f>
        <v/>
      </c>
    </row>
    <row r="27" ht="15" customHeight="1" s="59">
      <c r="B27" s="74" t="inlineStr">
        <is>
          <t>Accesorio</t>
        </is>
      </c>
      <c r="C27" s="99" t="n"/>
      <c r="D27" s="99" t="n"/>
      <c r="E27" s="100" t="n"/>
      <c r="F27" s="79">
        <f>SUMIFS(Movimientos!H2:H594,Movimientos!B2:B594,$G$4,Movimientos!E2:E594,B27)</f>
        <v/>
      </c>
      <c r="G27" s="110">
        <f>IFERROR(F27/SUMIFS(Movimientos!H2:H594,Movimientos!B2:B594,$G$4,Movimientos!D2:D594,"Gasto"),"-")</f>
        <v/>
      </c>
      <c r="H27" s="100" t="n"/>
      <c r="Z27" s="92">
        <f>IF(Movimientos!B27=$G$4,Movimientos!A27,"")</f>
        <v/>
      </c>
    </row>
    <row r="28" ht="15" customHeight="1" s="59">
      <c r="B28" s="74" t="inlineStr">
        <is>
          <t>Gasto administrativo</t>
        </is>
      </c>
      <c r="C28" s="99" t="n"/>
      <c r="D28" s="99" t="n"/>
      <c r="E28" s="100" t="n"/>
      <c r="F28" s="79">
        <f>SUMIFS(Movimientos!H2:H594,Movimientos!B2:B594,$G$4,Movimientos!E2:E594,B28)</f>
        <v/>
      </c>
      <c r="G28" s="110">
        <f>IFERROR(F28/SUMIFS(Movimientos!H2:H594,Movimientos!B2:B594,$G$4,Movimientos!D2:D594,"Gasto"),"-")</f>
        <v/>
      </c>
      <c r="H28" s="100" t="n"/>
      <c r="Z28" s="92">
        <f>IF(Movimientos!B28=$G$4,Movimientos!A28,"")</f>
        <v/>
      </c>
    </row>
    <row r="29" ht="15" customHeight="1" s="59">
      <c r="B29" s="74" t="inlineStr">
        <is>
          <t>Técnico mecánica</t>
        </is>
      </c>
      <c r="C29" s="99" t="n"/>
      <c r="D29" s="99" t="n"/>
      <c r="E29" s="100" t="n"/>
      <c r="F29" s="79">
        <f>SUMIFS(Movimientos!H2:H594,Movimientos!B2:B594,$G$4,Movimientos!E2:E594,B29)</f>
        <v/>
      </c>
      <c r="G29" s="110">
        <f>IFERROR(F29/SUMIFS(Movimientos!H2:H594,Movimientos!B2:B594,$G$4,Movimientos!D2:D594,"Gasto"),"-")</f>
        <v/>
      </c>
      <c r="H29" s="100" t="n"/>
      <c r="Z29" s="92">
        <f>IF(Movimientos!B29=$G$4,Movimientos!A29,"")</f>
        <v/>
      </c>
    </row>
    <row r="30" ht="15" customHeight="1" s="59">
      <c r="B30" s="111" t="inlineStr">
        <is>
          <t>TOTAL</t>
        </is>
      </c>
      <c r="C30" s="99" t="n"/>
      <c r="D30" s="99" t="n"/>
      <c r="E30" s="100" t="n"/>
      <c r="F30" s="112">
        <f>SUM(F24:F29)</f>
        <v/>
      </c>
      <c r="G30" s="113">
        <f>SUM(G24:G29)</f>
        <v/>
      </c>
      <c r="H30" s="100" t="n"/>
      <c r="Z30" s="92">
        <f>IF(Movimientos!B30=$G$4,Movimientos!A30,"")</f>
        <v/>
      </c>
    </row>
    <row r="31" ht="15" customHeight="1" s="59">
      <c r="Z31" s="92">
        <f>IF(Movimientos!B31=$G$4,Movimientos!A31,"")</f>
        <v/>
      </c>
    </row>
    <row r="32" ht="15" customHeight="1" s="59">
      <c r="Z32" s="92">
        <f>IF(Movimientos!B32=$G$4,Movimientos!A32,"")</f>
        <v/>
      </c>
    </row>
    <row r="33" ht="15" customHeight="1" s="59">
      <c r="Z33" s="92">
        <f>IF(Movimientos!B33=$G$4,Movimientos!A33,"")</f>
        <v/>
      </c>
    </row>
    <row r="34" ht="15" customHeight="1" s="59">
      <c r="Z34" s="92">
        <f>IF(Movimientos!B34=$G$4,Movimientos!A34,"")</f>
        <v/>
      </c>
    </row>
    <row r="35" ht="15" customHeight="1" s="59">
      <c r="Z35" s="92">
        <f>IF(Movimientos!B35=$G$4,Movimientos!A35,"")</f>
        <v/>
      </c>
    </row>
    <row r="36" ht="15" customHeight="1" s="59">
      <c r="Z36" s="92">
        <f>IF(Movimientos!B36=$G$4,Movimientos!A36,"")</f>
        <v/>
      </c>
    </row>
    <row r="37" ht="15" customHeight="1" s="59">
      <c r="Z37" s="92">
        <f>IF(Movimientos!B37=$G$4,Movimientos!A37,"")</f>
        <v/>
      </c>
    </row>
    <row r="38" ht="15" customHeight="1" s="59">
      <c r="Z38" s="92">
        <f>IF(Movimientos!B38=$G$4,Movimientos!A38,"")</f>
        <v/>
      </c>
    </row>
    <row r="39" ht="15" customHeight="1" s="59">
      <c r="Z39" s="92">
        <f>IF(Movimientos!B39=$G$4,Movimientos!A39,"")</f>
        <v/>
      </c>
    </row>
    <row r="40" ht="15" customHeight="1" s="59">
      <c r="Z40" s="92">
        <f>IF(Movimientos!B40=$G$4,Movimientos!A40,"")</f>
        <v/>
      </c>
    </row>
    <row r="41" ht="15" customHeight="1" s="59">
      <c r="Z41" s="92">
        <f>IF(Movimientos!B41=$G$4,Movimientos!A41,"")</f>
        <v/>
      </c>
    </row>
    <row r="42" ht="15" customHeight="1" s="59">
      <c r="Z42" s="92">
        <f>IF(Movimientos!B42=$G$4,Movimientos!A42,"")</f>
        <v/>
      </c>
    </row>
    <row r="43" ht="15" customHeight="1" s="59">
      <c r="Z43" s="92">
        <f>IF(Movimientos!B43=$G$4,Movimientos!A43,"")</f>
        <v/>
      </c>
    </row>
    <row r="44" ht="15" customHeight="1" s="59">
      <c r="Z44" s="92">
        <f>IF(Movimientos!B44=$G$4,Movimientos!A44,"")</f>
        <v/>
      </c>
    </row>
    <row r="45" ht="15" customHeight="1" s="59">
      <c r="Z45" s="92">
        <f>IF(Movimientos!B45=$G$4,Movimientos!A45,"")</f>
        <v/>
      </c>
    </row>
    <row r="46" ht="15" customHeight="1" s="59">
      <c r="Z46" s="92">
        <f>IF(Movimientos!B46=$G$4,Movimientos!A46,"")</f>
        <v/>
      </c>
    </row>
    <row r="47" ht="15" customHeight="1" s="59">
      <c r="Z47" s="92">
        <f>IF(Movimientos!B47=$G$4,Movimientos!A47,"")</f>
        <v/>
      </c>
    </row>
    <row r="48" ht="15" customHeight="1" s="59">
      <c r="Z48" s="92">
        <f>IF(Movimientos!B48=$G$4,Movimientos!A48,"")</f>
        <v/>
      </c>
    </row>
    <row r="49" ht="15" customHeight="1" s="59">
      <c r="Z49" s="92">
        <f>IF(Movimientos!B49=$G$4,Movimientos!A49,"")</f>
        <v/>
      </c>
    </row>
    <row r="50" ht="15" customHeight="1" s="59">
      <c r="Z50" s="92">
        <f>IF(Movimientos!B50=$G$4,Movimientos!A50,"")</f>
        <v/>
      </c>
    </row>
    <row r="51" ht="15" customHeight="1" s="59">
      <c r="Z51" s="92">
        <f>IF(Movimientos!B51=$G$4,Movimientos!A51,"")</f>
        <v/>
      </c>
    </row>
    <row r="52" ht="15" customHeight="1" s="59">
      <c r="Z52" s="92">
        <f>IF(Movimientos!B52=$G$4,Movimientos!A52,"")</f>
        <v/>
      </c>
    </row>
    <row r="53" ht="15" customHeight="1" s="59">
      <c r="Z53" s="92">
        <f>IF(Movimientos!B53=$G$4,Movimientos!A53,"")</f>
        <v/>
      </c>
    </row>
    <row r="54" ht="15" customHeight="1" s="59">
      <c r="Z54" s="92">
        <f>IF(Movimientos!B54=$G$4,Movimientos!A54,"")</f>
        <v/>
      </c>
    </row>
    <row r="55" ht="15" customHeight="1" s="59">
      <c r="Z55" s="92">
        <f>IF(Movimientos!B55=$G$4,Movimientos!A55,"")</f>
        <v/>
      </c>
    </row>
    <row r="56" ht="15" customHeight="1" s="59">
      <c r="Z56" s="92">
        <f>IF(Movimientos!B56=$G$4,Movimientos!A56,"")</f>
        <v/>
      </c>
    </row>
    <row r="57" ht="15" customHeight="1" s="59">
      <c r="Z57" s="92">
        <f>IF(Movimientos!B57=$G$4,Movimientos!A57,"")</f>
        <v/>
      </c>
    </row>
    <row r="58" ht="15" customHeight="1" s="59">
      <c r="Z58" s="92">
        <f>IF(Movimientos!B58=$G$4,Movimientos!A58,"")</f>
        <v/>
      </c>
    </row>
    <row r="59" ht="15" customHeight="1" s="59">
      <c r="Z59" s="92">
        <f>IF(Movimientos!B59=$G$4,Movimientos!A59,"")</f>
        <v/>
      </c>
    </row>
    <row r="60" ht="15" customHeight="1" s="59">
      <c r="Z60" s="92">
        <f>IF(Movimientos!B60=$G$4,Movimientos!A60,"")</f>
        <v/>
      </c>
    </row>
    <row r="61" ht="15" customHeight="1" s="59">
      <c r="Z61" s="92">
        <f>IF(Movimientos!B61=$G$4,Movimientos!A61,"")</f>
        <v/>
      </c>
    </row>
    <row r="62" ht="15" customHeight="1" s="59">
      <c r="Z62" s="92">
        <f>IF(Movimientos!B62=$G$4,Movimientos!A62,"")</f>
        <v/>
      </c>
    </row>
    <row r="63" ht="15" customHeight="1" s="59">
      <c r="Z63" s="92">
        <f>IF(Movimientos!B63=$G$4,Movimientos!A63,"")</f>
        <v/>
      </c>
    </row>
    <row r="64" ht="15" customHeight="1" s="59">
      <c r="Z64" s="92">
        <f>IF(Movimientos!B64=$G$4,Movimientos!A64,"")</f>
        <v/>
      </c>
    </row>
    <row r="65" ht="15" customHeight="1" s="59">
      <c r="Z65" s="92">
        <f>IF(Movimientos!B65=$G$4,Movimientos!A65,"")</f>
        <v/>
      </c>
    </row>
    <row r="66" ht="15" customHeight="1" s="59">
      <c r="Z66" s="92">
        <f>IF(Movimientos!B66=$G$4,Movimientos!A66,"")</f>
        <v/>
      </c>
    </row>
    <row r="67" ht="15" customHeight="1" s="59">
      <c r="Z67" s="92">
        <f>IF(Movimientos!B67=$G$4,Movimientos!A67,"")</f>
        <v/>
      </c>
    </row>
    <row r="68" ht="15" customHeight="1" s="59">
      <c r="Z68" s="92">
        <f>IF(Movimientos!B68=$G$4,Movimientos!A68,"")</f>
        <v/>
      </c>
    </row>
    <row r="69" ht="15" customHeight="1" s="59">
      <c r="Z69" s="92">
        <f>IF(Movimientos!B69=$G$4,Movimientos!A69,"")</f>
        <v/>
      </c>
    </row>
    <row r="70" ht="15" customHeight="1" s="59">
      <c r="Z70" s="92">
        <f>IF(Movimientos!B70=$G$4,Movimientos!A70,"")</f>
        <v/>
      </c>
    </row>
    <row r="71" ht="15" customHeight="1" s="59">
      <c r="Z71" s="92">
        <f>IF(Movimientos!B71=$G$4,Movimientos!A71,"")</f>
        <v/>
      </c>
    </row>
    <row r="72" ht="15" customHeight="1" s="59">
      <c r="Z72" s="92">
        <f>IF(Movimientos!B72=$G$4,Movimientos!A72,"")</f>
        <v/>
      </c>
    </row>
    <row r="73" ht="15" customHeight="1" s="59">
      <c r="Z73" s="92">
        <f>IF(Movimientos!B73=$G$4,Movimientos!A73,"")</f>
        <v/>
      </c>
    </row>
    <row r="74" ht="15" customHeight="1" s="59">
      <c r="Z74" s="92">
        <f>IF(Movimientos!B74=$G$4,Movimientos!A74,"")</f>
        <v/>
      </c>
    </row>
    <row r="75" ht="15" customHeight="1" s="59">
      <c r="Z75" s="92">
        <f>IF(Movimientos!B75=$G$4,Movimientos!A75,"")</f>
        <v/>
      </c>
    </row>
    <row r="76" ht="15" customHeight="1" s="59">
      <c r="Z76" s="92">
        <f>IF(Movimientos!B76=$G$4,Movimientos!A76,"")</f>
        <v/>
      </c>
    </row>
    <row r="77" ht="15" customHeight="1" s="59">
      <c r="Z77" s="92">
        <f>IF(Movimientos!B77=$G$4,Movimientos!A77,"")</f>
        <v/>
      </c>
    </row>
    <row r="78" ht="15" customHeight="1" s="59">
      <c r="Z78" s="92">
        <f>IF(Movimientos!B78=$G$4,Movimientos!A78,"")</f>
        <v/>
      </c>
    </row>
    <row r="79" ht="15" customHeight="1" s="59">
      <c r="Z79" s="92">
        <f>IF(Movimientos!B79=$G$4,Movimientos!A79,"")</f>
        <v/>
      </c>
    </row>
    <row r="80" ht="15" customHeight="1" s="59">
      <c r="Z80" s="92">
        <f>IF(Movimientos!B80=$G$4,Movimientos!A80,"")</f>
        <v/>
      </c>
    </row>
    <row r="81" ht="15" customHeight="1" s="59">
      <c r="Z81" s="92">
        <f>IF(Movimientos!B81=$G$4,Movimientos!A81,"")</f>
        <v/>
      </c>
    </row>
    <row r="82" ht="15" customHeight="1" s="59">
      <c r="Z82" s="92">
        <f>IF(Movimientos!B82=$G$4,Movimientos!A82,"")</f>
        <v/>
      </c>
    </row>
    <row r="83" ht="15" customHeight="1" s="59">
      <c r="Z83" s="92">
        <f>IF(Movimientos!B83=$G$4,Movimientos!A83,"")</f>
        <v/>
      </c>
    </row>
    <row r="84" ht="15" customHeight="1" s="59">
      <c r="Z84" s="92">
        <f>IF(Movimientos!B84=$G$4,Movimientos!A84,"")</f>
        <v/>
      </c>
    </row>
    <row r="85" ht="15" customHeight="1" s="59">
      <c r="Z85" s="92">
        <f>IF(Movimientos!B85=$G$4,Movimientos!A85,"")</f>
        <v/>
      </c>
    </row>
    <row r="86" ht="15" customHeight="1" s="59">
      <c r="Z86" s="92">
        <f>IF(Movimientos!B86=$G$4,Movimientos!A86,"")</f>
        <v/>
      </c>
    </row>
    <row r="87" ht="15" customHeight="1" s="59">
      <c r="Z87" s="92">
        <f>IF(Movimientos!B87=$G$4,Movimientos!A87,"")</f>
        <v/>
      </c>
    </row>
    <row r="88" ht="15" customHeight="1" s="59">
      <c r="Z88" s="92">
        <f>IF(Movimientos!B88=$G$4,Movimientos!A88,"")</f>
        <v/>
      </c>
    </row>
    <row r="89" ht="15" customHeight="1" s="59">
      <c r="Z89" s="92">
        <f>IF(Movimientos!B89=$G$4,Movimientos!A89,"")</f>
        <v/>
      </c>
    </row>
    <row r="90" ht="15" customHeight="1" s="59">
      <c r="Z90" s="92">
        <f>IF(Movimientos!B90=$G$4,Movimientos!A90,"")</f>
        <v/>
      </c>
    </row>
    <row r="91" ht="15" customHeight="1" s="59">
      <c r="Z91" s="92">
        <f>IF(Movimientos!B91=$G$4,Movimientos!A91,"")</f>
        <v/>
      </c>
    </row>
    <row r="92" ht="15" customHeight="1" s="59">
      <c r="Z92" s="92">
        <f>IF(Movimientos!B92=$G$4,Movimientos!A92,"")</f>
        <v/>
      </c>
    </row>
    <row r="93" ht="15" customHeight="1" s="59">
      <c r="Z93" s="92">
        <f>IF(Movimientos!B93=$G$4,Movimientos!A93,"")</f>
        <v/>
      </c>
    </row>
    <row r="94" ht="15" customHeight="1" s="59">
      <c r="Z94" s="92">
        <f>IF(Movimientos!B94=$G$4,Movimientos!A94,"")</f>
        <v/>
      </c>
    </row>
    <row r="95" ht="15" customHeight="1" s="59">
      <c r="Z95" s="64">
        <f>IF(Movimientos!B95=$G$4,Movimientos!A95,"")</f>
        <v/>
      </c>
    </row>
    <row r="96" ht="15" customHeight="1" s="59">
      <c r="Z96" s="64">
        <f>IF(Movimientos!B96=$G$4,Movimientos!A96,"")</f>
        <v/>
      </c>
    </row>
    <row r="97" ht="15" customHeight="1" s="59">
      <c r="Z97" s="64">
        <f>IF(Movimientos!B97=$G$4,Movimientos!A97,"")</f>
        <v/>
      </c>
    </row>
    <row r="98" ht="15" customHeight="1" s="59">
      <c r="Z98" s="64">
        <f>IF(Movimientos!B98=$G$4,Movimientos!A98,"")</f>
        <v/>
      </c>
    </row>
    <row r="99" ht="15" customHeight="1" s="59">
      <c r="Z99" s="64">
        <f>IF(Movimientos!B99=$G$4,Movimientos!A99,"")</f>
        <v/>
      </c>
    </row>
    <row r="100" ht="15" customHeight="1" s="59">
      <c r="Z100" s="64">
        <f>IF(Movimientos!B100=$G$4,Movimientos!A100,"")</f>
        <v/>
      </c>
    </row>
    <row r="101" ht="15" customHeight="1" s="59">
      <c r="Z101" s="64">
        <f>IF(Movimientos!B101=$G$4,Movimientos!A101,"")</f>
        <v/>
      </c>
    </row>
    <row r="102" ht="15" customHeight="1" s="59">
      <c r="Z102" s="64">
        <f>IF(Movimientos!B102=$G$4,Movimientos!A102,"")</f>
        <v/>
      </c>
    </row>
    <row r="103" ht="15" customHeight="1" s="59">
      <c r="Z103" s="64">
        <f>IF(Movimientos!B103=$G$4,Movimientos!A103,"")</f>
        <v/>
      </c>
    </row>
    <row r="104" ht="15" customHeight="1" s="59">
      <c r="Z104" s="64">
        <f>IF(Movimientos!B104=$G$4,Movimientos!A104,"")</f>
        <v/>
      </c>
    </row>
    <row r="105" ht="15" customHeight="1" s="59">
      <c r="Z105" s="64">
        <f>IF(Movimientos!B105=$G$4,Movimientos!A105,"")</f>
        <v/>
      </c>
    </row>
    <row r="106" ht="15" customHeight="1" s="59">
      <c r="Z106" s="64">
        <f>IF(Movimientos!B106=$G$4,Movimientos!A106,"")</f>
        <v/>
      </c>
    </row>
    <row r="107" ht="15" customHeight="1" s="59">
      <c r="Z107" s="64">
        <f>IF(Movimientos!B107=$G$4,Movimientos!A107,"")</f>
        <v/>
      </c>
    </row>
    <row r="108" ht="15" customHeight="1" s="59">
      <c r="Z108" s="64">
        <f>IF(Movimientos!B108=$G$4,Movimientos!A108,"")</f>
        <v/>
      </c>
    </row>
    <row r="109" ht="15" customHeight="1" s="59">
      <c r="Z109" s="64">
        <f>IF(Movimientos!B109=$G$4,Movimientos!A109,"")</f>
        <v/>
      </c>
    </row>
    <row r="110" ht="15" customHeight="1" s="59">
      <c r="Z110" s="64">
        <f>IF(Movimientos!B110=$G$4,Movimientos!A110,"")</f>
        <v/>
      </c>
    </row>
    <row r="111" ht="15" customHeight="1" s="59">
      <c r="Z111" s="64">
        <f>IF(Movimientos!B111=$G$4,Movimientos!A111,"")</f>
        <v/>
      </c>
    </row>
    <row r="112" ht="15" customHeight="1" s="59">
      <c r="Z112" s="64">
        <f>IF(Movimientos!B112=$G$4,Movimientos!A112,"")</f>
        <v/>
      </c>
    </row>
    <row r="113" ht="15" customHeight="1" s="59">
      <c r="Z113" s="64">
        <f>IF(Movimientos!B113=$G$4,Movimientos!A113,"")</f>
        <v/>
      </c>
    </row>
    <row r="114" ht="15" customHeight="1" s="59">
      <c r="Z114" s="64">
        <f>IF(Movimientos!B114=$G$4,Movimientos!A114,"")</f>
        <v/>
      </c>
    </row>
    <row r="115" ht="15" customHeight="1" s="59">
      <c r="Z115" s="64">
        <f>IF(Movimientos!B115=$G$4,Movimientos!A115,"")</f>
        <v/>
      </c>
    </row>
    <row r="116" ht="15" customHeight="1" s="59">
      <c r="Z116" s="64">
        <f>IF(Movimientos!B116=$G$4,Movimientos!A116,"")</f>
        <v/>
      </c>
    </row>
    <row r="117" ht="15" customHeight="1" s="59">
      <c r="Z117" s="64">
        <f>IF(Movimientos!B117=$G$4,Movimientos!A117,"")</f>
        <v/>
      </c>
    </row>
    <row r="118" ht="15" customHeight="1" s="59">
      <c r="Z118" s="64">
        <f>IF(Movimientos!B118=$G$4,Movimientos!A118,"")</f>
        <v/>
      </c>
    </row>
    <row r="119" ht="15" customHeight="1" s="59">
      <c r="Z119" s="64">
        <f>IF(Movimientos!B119=$G$4,Movimientos!A119,"")</f>
        <v/>
      </c>
    </row>
    <row r="120" ht="15" customHeight="1" s="59">
      <c r="Z120" s="64">
        <f>IF(Movimientos!B120=$G$4,Movimientos!A120,"")</f>
        <v/>
      </c>
    </row>
    <row r="121" ht="15" customHeight="1" s="59">
      <c r="Z121" s="64">
        <f>IF(Movimientos!B121=$G$4,Movimientos!A121,"")</f>
        <v/>
      </c>
    </row>
    <row r="122" ht="15" customHeight="1" s="59">
      <c r="Z122" s="64">
        <f>IF(Movimientos!B122=$G$4,Movimientos!A122,"")</f>
        <v/>
      </c>
    </row>
    <row r="123" ht="15" customHeight="1" s="59">
      <c r="Z123" s="64">
        <f>IF(Movimientos!B123=$G$4,Movimientos!A123,"")</f>
        <v/>
      </c>
    </row>
    <row r="124" ht="15" customHeight="1" s="59">
      <c r="Z124" s="64">
        <f>IF(Movimientos!B124=$G$4,Movimientos!A124,"")</f>
        <v/>
      </c>
    </row>
    <row r="125" ht="15" customHeight="1" s="59">
      <c r="Z125" s="64">
        <f>IF(Movimientos!B125=$G$4,Movimientos!A125,"")</f>
        <v/>
      </c>
    </row>
    <row r="126" ht="15" customHeight="1" s="59">
      <c r="Z126" s="64">
        <f>IF(Movimientos!B126=$G$4,Movimientos!A126,"")</f>
        <v/>
      </c>
    </row>
    <row r="127" ht="15" customHeight="1" s="59">
      <c r="Z127" s="64">
        <f>IF(Movimientos!B127=$G$4,Movimientos!A127,"")</f>
        <v/>
      </c>
    </row>
    <row r="128" ht="15" customHeight="1" s="59">
      <c r="Z128" s="64">
        <f>IF(Movimientos!B128=$G$4,Movimientos!A128,"")</f>
        <v/>
      </c>
    </row>
    <row r="129" ht="15" customHeight="1" s="59">
      <c r="Z129" s="64">
        <f>IF(Movimientos!B129=$G$4,Movimientos!A129,"")</f>
        <v/>
      </c>
    </row>
    <row r="130" ht="15" customHeight="1" s="59">
      <c r="Z130" s="64">
        <f>IF(Movimientos!B130=$G$4,Movimientos!A130,"")</f>
        <v/>
      </c>
    </row>
    <row r="131" ht="15" customHeight="1" s="59">
      <c r="Z131" s="64">
        <f>IF(Movimientos!B131=$G$4,Movimientos!A131,"")</f>
        <v/>
      </c>
    </row>
    <row r="132" ht="15" customHeight="1" s="59">
      <c r="Z132" s="64">
        <f>IF(Movimientos!B132=$G$4,Movimientos!A132,"")</f>
        <v/>
      </c>
    </row>
    <row r="133" ht="15" customHeight="1" s="59">
      <c r="Z133" s="64">
        <f>IF(Movimientos!B133=$G$4,Movimientos!A133,"")</f>
        <v/>
      </c>
    </row>
    <row r="134" ht="15" customHeight="1" s="59">
      <c r="Z134" s="64">
        <f>IF(Movimientos!B134=$G$4,Movimientos!A134,"")</f>
        <v/>
      </c>
    </row>
    <row r="135" ht="15" customHeight="1" s="59">
      <c r="Z135" s="64">
        <f>IF(Movimientos!B135=$G$4,Movimientos!A135,"")</f>
        <v/>
      </c>
    </row>
    <row r="136" ht="15" customHeight="1" s="59">
      <c r="Z136" s="64">
        <f>IF(Movimientos!B136=$G$4,Movimientos!A136,"")</f>
        <v/>
      </c>
    </row>
    <row r="137" ht="15" customHeight="1" s="59">
      <c r="Z137" s="64">
        <f>IF(Movimientos!B137=$G$4,Movimientos!A137,"")</f>
        <v/>
      </c>
    </row>
    <row r="138" ht="15" customHeight="1" s="59">
      <c r="Z138" s="64">
        <f>IF(Movimientos!B138=$G$4,Movimientos!A138,"")</f>
        <v/>
      </c>
    </row>
    <row r="139" ht="15" customHeight="1" s="59">
      <c r="Z139" s="64">
        <f>IF(Movimientos!B139=$G$4,Movimientos!A139,"")</f>
        <v/>
      </c>
    </row>
    <row r="140" ht="15" customHeight="1" s="59">
      <c r="Z140" s="64">
        <f>IF(Movimientos!B140=$G$4,Movimientos!A140,"")</f>
        <v/>
      </c>
    </row>
    <row r="141" ht="15" customHeight="1" s="59">
      <c r="Z141" s="64">
        <f>IF(Movimientos!B141=$G$4,Movimientos!A141,"")</f>
        <v/>
      </c>
    </row>
    <row r="142" ht="15" customHeight="1" s="59">
      <c r="Z142" s="64">
        <f>IF(Movimientos!B142=$G$4,Movimientos!A142,"")</f>
        <v/>
      </c>
    </row>
    <row r="143" ht="15" customHeight="1" s="59">
      <c r="Z143" s="64">
        <f>IF(Movimientos!B143=$G$4,Movimientos!A143,"")</f>
        <v/>
      </c>
    </row>
    <row r="144" ht="15" customHeight="1" s="59">
      <c r="Z144" s="64">
        <f>IF(Movimientos!B144=$G$4,Movimientos!A144,"")</f>
        <v/>
      </c>
    </row>
    <row r="145" ht="15" customHeight="1" s="59">
      <c r="Z145" s="64">
        <f>IF(Movimientos!B145=$G$4,Movimientos!A145,"")</f>
        <v/>
      </c>
    </row>
    <row r="146" ht="15" customHeight="1" s="59">
      <c r="Z146" s="64">
        <f>IF(Movimientos!B146=$G$4,Movimientos!A146,"")</f>
        <v/>
      </c>
    </row>
    <row r="147" ht="15" customHeight="1" s="59">
      <c r="Z147" s="64">
        <f>IF(Movimientos!B147=$G$4,Movimientos!A147,"")</f>
        <v/>
      </c>
    </row>
    <row r="148" ht="15" customHeight="1" s="59">
      <c r="Z148" s="64">
        <f>IF(Movimientos!B148=$G$4,Movimientos!A148,"")</f>
        <v/>
      </c>
    </row>
    <row r="149" ht="15" customHeight="1" s="59">
      <c r="Z149" s="64">
        <f>IF(Movimientos!B149=$G$4,Movimientos!A149,"")</f>
        <v/>
      </c>
    </row>
    <row r="150" ht="15" customHeight="1" s="59">
      <c r="Z150" s="64">
        <f>IF(Movimientos!B150=$G$4,Movimientos!A150,"")</f>
        <v/>
      </c>
    </row>
    <row r="151" ht="15" customHeight="1" s="59">
      <c r="Z151" s="64">
        <f>IF(Movimientos!B151=$G$4,Movimientos!A151,"")</f>
        <v/>
      </c>
    </row>
    <row r="152" ht="15" customHeight="1" s="59">
      <c r="Z152" s="64">
        <f>IF(Movimientos!B152=$G$4,Movimientos!A152,"")</f>
        <v/>
      </c>
    </row>
    <row r="153" ht="15" customHeight="1" s="59">
      <c r="Z153" s="64">
        <f>IF(Movimientos!B153=$G$4,Movimientos!A153,"")</f>
        <v/>
      </c>
    </row>
    <row r="154" ht="15" customHeight="1" s="59">
      <c r="Z154" s="64">
        <f>IF(Movimientos!B154=$G$4,Movimientos!A154,"")</f>
        <v/>
      </c>
    </row>
    <row r="155" ht="15" customHeight="1" s="59">
      <c r="Z155" s="64">
        <f>IF(Movimientos!B155=$G$4,Movimientos!A155,"")</f>
        <v/>
      </c>
    </row>
    <row r="156" ht="15" customHeight="1" s="59">
      <c r="Z156" s="64">
        <f>IF(Movimientos!B156=$G$4,Movimientos!A156,"")</f>
        <v/>
      </c>
    </row>
    <row r="157" ht="15" customHeight="1" s="59">
      <c r="Z157" s="64">
        <f>IF(Movimientos!B157=$G$4,Movimientos!A157,"")</f>
        <v/>
      </c>
    </row>
    <row r="158" ht="15" customHeight="1" s="59">
      <c r="Z158" s="64">
        <f>IF(Movimientos!B158=$G$4,Movimientos!A158,"")</f>
        <v/>
      </c>
    </row>
    <row r="159" ht="15" customHeight="1" s="59">
      <c r="Z159" s="64">
        <f>IF(Movimientos!B159=$G$4,Movimientos!A159,"")</f>
        <v/>
      </c>
    </row>
    <row r="160" ht="15" customHeight="1" s="59">
      <c r="Z160" s="64">
        <f>IF(Movimientos!B160=$G$4,Movimientos!A160,"")</f>
        <v/>
      </c>
    </row>
    <row r="161" ht="15" customHeight="1" s="59">
      <c r="Z161" s="64">
        <f>IF(Movimientos!B161=$G$4,Movimientos!A161,"")</f>
        <v/>
      </c>
    </row>
    <row r="162" ht="15" customHeight="1" s="59">
      <c r="Z162" s="64">
        <f>IF(Movimientos!B162=$G$4,Movimientos!A162,"")</f>
        <v/>
      </c>
    </row>
    <row r="163" ht="15" customHeight="1" s="59">
      <c r="Z163" s="64">
        <f>IF(Movimientos!B163=$G$4,Movimientos!A163,"")</f>
        <v/>
      </c>
    </row>
    <row r="164" ht="15" customHeight="1" s="59">
      <c r="Z164" s="64">
        <f>IF(Movimientos!B164=$G$4,Movimientos!A164,"")</f>
        <v/>
      </c>
    </row>
    <row r="165" ht="15" customHeight="1" s="59">
      <c r="Z165" s="64">
        <f>IF(Movimientos!B165=$G$4,Movimientos!A165,"")</f>
        <v/>
      </c>
    </row>
    <row r="166" ht="15" customHeight="1" s="59">
      <c r="Z166" s="64">
        <f>IF(Movimientos!B166=$G$4,Movimientos!A166,"")</f>
        <v/>
      </c>
    </row>
    <row r="167" ht="15" customHeight="1" s="59">
      <c r="Z167" s="64">
        <f>IF(Movimientos!B167=$G$4,Movimientos!A167,"")</f>
        <v/>
      </c>
    </row>
    <row r="168" ht="15" customHeight="1" s="59">
      <c r="Z168" s="64">
        <f>IF(Movimientos!B168=$G$4,Movimientos!A168,"")</f>
        <v/>
      </c>
    </row>
    <row r="169" ht="15" customHeight="1" s="59">
      <c r="Z169" s="64">
        <f>IF(Movimientos!B169=$G$4,Movimientos!A169,"")</f>
        <v/>
      </c>
    </row>
    <row r="170" ht="15" customHeight="1" s="59">
      <c r="Z170" s="64">
        <f>IF(Movimientos!B170=$G$4,Movimientos!A170,"")</f>
        <v/>
      </c>
    </row>
    <row r="171" ht="15" customHeight="1" s="59">
      <c r="Z171" s="64">
        <f>IF(Movimientos!B171=$G$4,Movimientos!A171,"")</f>
        <v/>
      </c>
    </row>
    <row r="172" ht="15" customHeight="1" s="59">
      <c r="Z172" s="64">
        <f>IF(Movimientos!B172=$G$4,Movimientos!A172,"")</f>
        <v/>
      </c>
    </row>
    <row r="173" ht="15" customHeight="1" s="59">
      <c r="Z173" s="64">
        <f>IF(Movimientos!B173=$G$4,Movimientos!A173,"")</f>
        <v/>
      </c>
    </row>
    <row r="174" ht="15" customHeight="1" s="59">
      <c r="Z174" s="64">
        <f>IF(Movimientos!B174=$G$4,Movimientos!A174,"")</f>
        <v/>
      </c>
    </row>
    <row r="175" ht="15" customHeight="1" s="59">
      <c r="Z175" s="64">
        <f>IF(Movimientos!B175=$G$4,Movimientos!A175,"")</f>
        <v/>
      </c>
    </row>
    <row r="176" ht="15" customHeight="1" s="59">
      <c r="Z176" s="64">
        <f>IF(Movimientos!B176=$G$4,Movimientos!A176,"")</f>
        <v/>
      </c>
    </row>
    <row r="177" ht="15" customHeight="1" s="59">
      <c r="Z177" s="64">
        <f>IF(Movimientos!B177=$G$4,Movimientos!A177,"")</f>
        <v/>
      </c>
    </row>
    <row r="178" ht="15" customHeight="1" s="59">
      <c r="Z178" s="64">
        <f>IF(Movimientos!B178=$G$4,Movimientos!A178,"")</f>
        <v/>
      </c>
    </row>
    <row r="179" ht="15" customHeight="1" s="59">
      <c r="Z179" s="64">
        <f>IF(Movimientos!B179=$G$4,Movimientos!A179,"")</f>
        <v/>
      </c>
    </row>
    <row r="180" ht="15" customHeight="1" s="59">
      <c r="Z180" s="64">
        <f>IF(Movimientos!B180=$G$4,Movimientos!A180,"")</f>
        <v/>
      </c>
    </row>
    <row r="181" ht="15" customHeight="1" s="59">
      <c r="Z181" s="64">
        <f>IF(Movimientos!B181=$G$4,Movimientos!A181,"")</f>
        <v/>
      </c>
    </row>
    <row r="182" ht="15" customHeight="1" s="59">
      <c r="Z182" s="64">
        <f>IF(Movimientos!B182=$G$4,Movimientos!A182,"")</f>
        <v/>
      </c>
    </row>
    <row r="183" ht="15" customHeight="1" s="59">
      <c r="Z183" s="64">
        <f>IF(Movimientos!B183=$G$4,Movimientos!A183,"")</f>
        <v/>
      </c>
    </row>
    <row r="184" ht="15" customHeight="1" s="59">
      <c r="Z184" s="64">
        <f>IF(Movimientos!B184=$G$4,Movimientos!A184,"")</f>
        <v/>
      </c>
    </row>
    <row r="185" ht="15" customHeight="1" s="59">
      <c r="Z185" s="64">
        <f>IF(Movimientos!B185=$G$4,Movimientos!A185,"")</f>
        <v/>
      </c>
    </row>
    <row r="186" ht="15" customHeight="1" s="59">
      <c r="Z186" s="64">
        <f>IF(Movimientos!B186=$G$4,Movimientos!A186,"")</f>
        <v/>
      </c>
    </row>
    <row r="187" ht="15" customHeight="1" s="59">
      <c r="Z187" s="64">
        <f>IF(Movimientos!B187=$G$4,Movimientos!A187,"")</f>
        <v/>
      </c>
    </row>
    <row r="188" ht="15" customHeight="1" s="59">
      <c r="Z188" s="64">
        <f>IF(Movimientos!B188=$G$4,Movimientos!A188,"")</f>
        <v/>
      </c>
    </row>
    <row r="189" ht="15" customHeight="1" s="59">
      <c r="Z189" s="64">
        <f>IF(Movimientos!B189=$G$4,Movimientos!A189,"")</f>
        <v/>
      </c>
    </row>
    <row r="190" ht="15" customHeight="1" s="59">
      <c r="Z190" s="64">
        <f>IF(Movimientos!B190=$G$4,Movimientos!A190,"")</f>
        <v/>
      </c>
    </row>
    <row r="191" ht="15" customHeight="1" s="59">
      <c r="Z191" s="64">
        <f>IF(Movimientos!B191=$G$4,Movimientos!A191,"")</f>
        <v/>
      </c>
    </row>
    <row r="192" ht="15" customHeight="1" s="59">
      <c r="Z192" s="64">
        <f>IF(Movimientos!B192=$G$4,Movimientos!A192,"")</f>
        <v/>
      </c>
    </row>
    <row r="193" ht="15" customHeight="1" s="59">
      <c r="Z193" s="64">
        <f>IF(Movimientos!B193=$G$4,Movimientos!A193,"")</f>
        <v/>
      </c>
    </row>
    <row r="194" ht="15" customHeight="1" s="59">
      <c r="Z194" s="64">
        <f>IF(Movimientos!B194=$G$4,Movimientos!A194,"")</f>
        <v/>
      </c>
    </row>
    <row r="195" ht="15" customHeight="1" s="59">
      <c r="Z195" s="64">
        <f>IF(Movimientos!B195=$G$4,Movimientos!A195,"")</f>
        <v/>
      </c>
    </row>
    <row r="196" ht="15" customHeight="1" s="59">
      <c r="Z196" s="64">
        <f>IF(Movimientos!B196=$G$4,Movimientos!A196,"")</f>
        <v/>
      </c>
    </row>
    <row r="197" ht="15" customHeight="1" s="59">
      <c r="Z197" s="64">
        <f>IF(Movimientos!B197=$G$4,Movimientos!A197,"")</f>
        <v/>
      </c>
    </row>
    <row r="198" ht="15" customHeight="1" s="59">
      <c r="Z198" s="64">
        <f>IF(Movimientos!B198=$G$4,Movimientos!A198,"")</f>
        <v/>
      </c>
    </row>
    <row r="199" ht="15" customHeight="1" s="59">
      <c r="Z199" s="64">
        <f>IF(Movimientos!B199=$G$4,Movimientos!A199,"")</f>
        <v/>
      </c>
    </row>
    <row r="200" ht="15" customHeight="1" s="59">
      <c r="Z200" s="64">
        <f>IF(Movimientos!B200=$G$4,Movimientos!A200,"")</f>
        <v/>
      </c>
    </row>
    <row r="201" ht="15" customHeight="1" s="59">
      <c r="Z201" s="64">
        <f>IF(Movimientos!B201=$G$4,Movimientos!A201,"")</f>
        <v/>
      </c>
    </row>
    <row r="202" ht="15" customHeight="1" s="59">
      <c r="Z202" s="64">
        <f>IF(Movimientos!B202=$G$4,Movimientos!A202,"")</f>
        <v/>
      </c>
    </row>
    <row r="203" ht="15" customHeight="1" s="59">
      <c r="Z203" s="64">
        <f>IF(Movimientos!B203=$G$4,Movimientos!A203,"")</f>
        <v/>
      </c>
    </row>
    <row r="204" ht="15" customHeight="1" s="59">
      <c r="Z204" s="64">
        <f>IF(Movimientos!B204=$G$4,Movimientos!A204,"")</f>
        <v/>
      </c>
    </row>
    <row r="205" ht="15" customHeight="1" s="59">
      <c r="Z205" s="64">
        <f>IF(Movimientos!B205=$G$4,Movimientos!A205,"")</f>
        <v/>
      </c>
    </row>
    <row r="206" ht="15" customHeight="1" s="59">
      <c r="Z206" s="64">
        <f>IF(Movimientos!B206=$G$4,Movimientos!A206,"")</f>
        <v/>
      </c>
    </row>
    <row r="207" ht="15" customHeight="1" s="59">
      <c r="Z207" s="64">
        <f>IF(Movimientos!B207=$G$4,Movimientos!A207,"")</f>
        <v/>
      </c>
    </row>
    <row r="208" ht="15" customHeight="1" s="59">
      <c r="Z208" s="64">
        <f>IF(Movimientos!B208=$G$4,Movimientos!A208,"")</f>
        <v/>
      </c>
    </row>
    <row r="209" ht="15" customHeight="1" s="59">
      <c r="Z209" s="64">
        <f>IF(Movimientos!B209=$G$4,Movimientos!A209,"")</f>
        <v/>
      </c>
    </row>
    <row r="210" ht="15" customHeight="1" s="59">
      <c r="Z210" s="64">
        <f>IF(Movimientos!B210=$G$4,Movimientos!A210,"")</f>
        <v/>
      </c>
    </row>
    <row r="211" ht="15" customHeight="1" s="59">
      <c r="Z211" s="64">
        <f>IF(Movimientos!B211=$G$4,Movimientos!A211,"")</f>
        <v/>
      </c>
    </row>
    <row r="212" ht="15" customHeight="1" s="59">
      <c r="Z212" s="64">
        <f>IF(Movimientos!B212=$G$4,Movimientos!A212,"")</f>
        <v/>
      </c>
    </row>
    <row r="213" ht="15" customHeight="1" s="59">
      <c r="Z213" s="64">
        <f>IF(Movimientos!B213=$G$4,Movimientos!A213,"")</f>
        <v/>
      </c>
    </row>
    <row r="214" ht="15" customHeight="1" s="59">
      <c r="Z214" s="64">
        <f>IF(Movimientos!B214=$G$4,Movimientos!A214,"")</f>
        <v/>
      </c>
    </row>
    <row r="215" ht="15" customHeight="1" s="59">
      <c r="Z215" s="64">
        <f>IF(Movimientos!B215=$G$4,Movimientos!A215,"")</f>
        <v/>
      </c>
    </row>
    <row r="216" ht="15" customHeight="1" s="59">
      <c r="Z216" s="64">
        <f>IF(Movimientos!B216=$G$4,Movimientos!A216,"")</f>
        <v/>
      </c>
    </row>
    <row r="217" ht="15" customHeight="1" s="59">
      <c r="Z217" s="64">
        <f>IF(Movimientos!B217=$G$4,Movimientos!A217,"")</f>
        <v/>
      </c>
    </row>
    <row r="218" ht="15" customHeight="1" s="59">
      <c r="Z218" s="64">
        <f>IF(Movimientos!B218=$G$4,Movimientos!A218,"")</f>
        <v/>
      </c>
    </row>
    <row r="219" ht="15" customHeight="1" s="59">
      <c r="Z219" s="64">
        <f>IF(Movimientos!B219=$G$4,Movimientos!A219,"")</f>
        <v/>
      </c>
    </row>
    <row r="220" ht="15" customHeight="1" s="59">
      <c r="Z220" s="64">
        <f>IF(Movimientos!B220=$G$4,Movimientos!A220,"")</f>
        <v/>
      </c>
    </row>
    <row r="221" ht="15" customHeight="1" s="59">
      <c r="Z221" s="64">
        <f>IF(Movimientos!B221=$G$4,Movimientos!A221,"")</f>
        <v/>
      </c>
    </row>
    <row r="222" ht="15" customHeight="1" s="59">
      <c r="Z222" s="64">
        <f>IF(Movimientos!B222=$G$4,Movimientos!A222,"")</f>
        <v/>
      </c>
    </row>
    <row r="223" ht="15" customHeight="1" s="59">
      <c r="Z223" s="64">
        <f>IF(Movimientos!B223=$G$4,Movimientos!A223,"")</f>
        <v/>
      </c>
    </row>
    <row r="224" ht="15" customHeight="1" s="59">
      <c r="Z224" s="64">
        <f>IF(Movimientos!B224=$G$4,Movimientos!A224,"")</f>
        <v/>
      </c>
    </row>
    <row r="225" ht="15" customHeight="1" s="59">
      <c r="Z225" s="64">
        <f>IF(Movimientos!B225=$G$4,Movimientos!A225,"")</f>
        <v/>
      </c>
    </row>
    <row r="226" ht="15" customHeight="1" s="59">
      <c r="Z226" s="64">
        <f>IF(Movimientos!B226=$G$4,Movimientos!A226,"")</f>
        <v/>
      </c>
    </row>
    <row r="227" ht="15" customHeight="1" s="59">
      <c r="Z227" s="64">
        <f>IF(Movimientos!B227=$G$4,Movimientos!A227,"")</f>
        <v/>
      </c>
    </row>
    <row r="228" ht="15" customHeight="1" s="59">
      <c r="Z228" s="64">
        <f>IF(Movimientos!B228=$G$4,Movimientos!A228,"")</f>
        <v/>
      </c>
    </row>
    <row r="229" ht="15" customHeight="1" s="59">
      <c r="Z229" s="64">
        <f>IF(Movimientos!B229=$G$4,Movimientos!A229,"")</f>
        <v/>
      </c>
    </row>
    <row r="230" ht="15" customHeight="1" s="59">
      <c r="Z230" s="64">
        <f>IF(Movimientos!B230=$G$4,Movimientos!A230,"")</f>
        <v/>
      </c>
    </row>
    <row r="231" ht="15" customHeight="1" s="59">
      <c r="Z231" s="64">
        <f>IF(Movimientos!B231=$G$4,Movimientos!A231,"")</f>
        <v/>
      </c>
    </row>
    <row r="232" ht="15" customHeight="1" s="59">
      <c r="Z232" s="64">
        <f>IF(Movimientos!B232=$G$4,Movimientos!A232,"")</f>
        <v/>
      </c>
    </row>
    <row r="233" ht="15" customHeight="1" s="59">
      <c r="Z233" s="64">
        <f>IF(Movimientos!B233=$G$4,Movimientos!A233,"")</f>
        <v/>
      </c>
    </row>
    <row r="234" ht="15" customHeight="1" s="59">
      <c r="Z234" s="64">
        <f>IF(Movimientos!B234=$G$4,Movimientos!A234,"")</f>
        <v/>
      </c>
    </row>
    <row r="235" ht="15" customHeight="1" s="59">
      <c r="Z235" s="64">
        <f>IF(Movimientos!B235=$G$4,Movimientos!A235,"")</f>
        <v/>
      </c>
    </row>
    <row r="236" ht="15" customHeight="1" s="59">
      <c r="Z236" s="64">
        <f>IF(Movimientos!B236=$G$4,Movimientos!A236,"")</f>
        <v/>
      </c>
    </row>
    <row r="237" ht="15" customHeight="1" s="59">
      <c r="Z237" s="64">
        <f>IF(Movimientos!B237=$G$4,Movimientos!A237,"")</f>
        <v/>
      </c>
    </row>
    <row r="238" ht="15" customHeight="1" s="59">
      <c r="Z238" s="64">
        <f>IF(Movimientos!B238=$G$4,Movimientos!A238,"")</f>
        <v/>
      </c>
    </row>
    <row r="239" ht="15" customHeight="1" s="59">
      <c r="Z239" s="64">
        <f>IF(Movimientos!B239=$G$4,Movimientos!A239,"")</f>
        <v/>
      </c>
    </row>
    <row r="240" ht="15" customHeight="1" s="59">
      <c r="Z240" s="64">
        <f>IF(Movimientos!B240=$G$4,Movimientos!A240,"")</f>
        <v/>
      </c>
    </row>
    <row r="241" ht="15" customHeight="1" s="59">
      <c r="Z241" s="64">
        <f>IF(Movimientos!B241=$G$4,Movimientos!A241,"")</f>
        <v/>
      </c>
    </row>
    <row r="242" ht="15" customHeight="1" s="59">
      <c r="Z242" s="64">
        <f>IF(Movimientos!B242=$G$4,Movimientos!A242,"")</f>
        <v/>
      </c>
    </row>
    <row r="243" ht="15" customHeight="1" s="59">
      <c r="Z243" s="64">
        <f>IF(Movimientos!B243=$G$4,Movimientos!A243,"")</f>
        <v/>
      </c>
    </row>
    <row r="244" ht="15" customHeight="1" s="59">
      <c r="Z244" s="64">
        <f>IF(Movimientos!B244=$G$4,Movimientos!A244,"")</f>
        <v/>
      </c>
    </row>
    <row r="245" ht="15" customHeight="1" s="59">
      <c r="Z245" s="64">
        <f>IF(Movimientos!B245=$G$4,Movimientos!A245,"")</f>
        <v/>
      </c>
    </row>
    <row r="246" ht="15" customHeight="1" s="59">
      <c r="Z246" s="64">
        <f>IF(Movimientos!B246=$G$4,Movimientos!A246,"")</f>
        <v/>
      </c>
    </row>
    <row r="247" ht="15" customHeight="1" s="59">
      <c r="Z247" s="64">
        <f>IF(Movimientos!B247=$G$4,Movimientos!A247,"")</f>
        <v/>
      </c>
    </row>
    <row r="248" ht="15" customHeight="1" s="59">
      <c r="Z248" s="64">
        <f>IF(Movimientos!B248=$G$4,Movimientos!A248,"")</f>
        <v/>
      </c>
    </row>
    <row r="249" ht="15" customHeight="1" s="59">
      <c r="Z249" s="64">
        <f>IF(Movimientos!B249=$G$4,Movimientos!A249,"")</f>
        <v/>
      </c>
    </row>
    <row r="250" ht="15" customHeight="1" s="59">
      <c r="Z250" s="64">
        <f>IF(Movimientos!B250=$G$4,Movimientos!A250,"")</f>
        <v/>
      </c>
    </row>
    <row r="251" ht="15" customHeight="1" s="59">
      <c r="Z251" s="64">
        <f>IF(Movimientos!B251=$G$4,Movimientos!A251,"")</f>
        <v/>
      </c>
    </row>
    <row r="252" ht="15" customHeight="1" s="59">
      <c r="Z252" s="64">
        <f>IF(Movimientos!B252=$G$4,Movimientos!A252,"")</f>
        <v/>
      </c>
    </row>
    <row r="253" ht="15" customHeight="1" s="59">
      <c r="Z253" s="64">
        <f>IF(Movimientos!B253=$G$4,Movimientos!A253,"")</f>
        <v/>
      </c>
    </row>
    <row r="254" ht="15" customHeight="1" s="59">
      <c r="Z254" s="64">
        <f>IF(Movimientos!B254=$G$4,Movimientos!A254,"")</f>
        <v/>
      </c>
    </row>
    <row r="255" ht="15" customHeight="1" s="59">
      <c r="Z255" s="64">
        <f>IF(Movimientos!B255=$G$4,Movimientos!A255,"")</f>
        <v/>
      </c>
    </row>
    <row r="256" ht="15" customHeight="1" s="59">
      <c r="Z256" s="64">
        <f>IF(Movimientos!B256=$G$4,Movimientos!A256,"")</f>
        <v/>
      </c>
    </row>
    <row r="257" ht="15" customHeight="1" s="59">
      <c r="Z257" s="64">
        <f>IF(Movimientos!B257=$G$4,Movimientos!A257,"")</f>
        <v/>
      </c>
    </row>
    <row r="258" ht="15" customHeight="1" s="59">
      <c r="Z258" s="64">
        <f>IF(Movimientos!B258=$G$4,Movimientos!A258,"")</f>
        <v/>
      </c>
    </row>
    <row r="259" ht="15" customHeight="1" s="59">
      <c r="Z259" s="64">
        <f>IF(Movimientos!B259=$G$4,Movimientos!A259,"")</f>
        <v/>
      </c>
    </row>
    <row r="260" ht="15" customHeight="1" s="59">
      <c r="Z260" s="64">
        <f>IF(Movimientos!B260=$G$4,Movimientos!A260,"")</f>
        <v/>
      </c>
    </row>
    <row r="261" ht="15" customHeight="1" s="59">
      <c r="Z261" s="64">
        <f>IF(Movimientos!B261=$G$4,Movimientos!A261,"")</f>
        <v/>
      </c>
    </row>
    <row r="262" ht="15" customHeight="1" s="59">
      <c r="Z262" s="64">
        <f>IF(Movimientos!B262=$G$4,Movimientos!A262,"")</f>
        <v/>
      </c>
    </row>
    <row r="263" ht="15" customHeight="1" s="59">
      <c r="Z263" s="64">
        <f>IF(Movimientos!B263=$G$4,Movimientos!A263,"")</f>
        <v/>
      </c>
    </row>
    <row r="264" ht="15" customHeight="1" s="59">
      <c r="Z264" s="64">
        <f>IF(Movimientos!B264=$G$4,Movimientos!A264,"")</f>
        <v/>
      </c>
    </row>
    <row r="265" ht="15" customHeight="1" s="59">
      <c r="Z265" s="64">
        <f>IF(Movimientos!B265=$G$4,Movimientos!A265,"")</f>
        <v/>
      </c>
    </row>
    <row r="266" ht="15" customHeight="1" s="59">
      <c r="Z266" s="64">
        <f>IF(Movimientos!B266=$G$4,Movimientos!A266,"")</f>
        <v/>
      </c>
    </row>
    <row r="267" ht="15" customHeight="1" s="59">
      <c r="Z267" s="64">
        <f>IF(Movimientos!B267=$G$4,Movimientos!A267,"")</f>
        <v/>
      </c>
    </row>
    <row r="268" ht="15" customHeight="1" s="59">
      <c r="Z268" s="64">
        <f>IF(Movimientos!B268=$G$4,Movimientos!A268,"")</f>
        <v/>
      </c>
    </row>
    <row r="269" ht="15" customHeight="1" s="59">
      <c r="Z269" s="64">
        <f>IF(Movimientos!B269=$G$4,Movimientos!A269,"")</f>
        <v/>
      </c>
    </row>
    <row r="270" ht="15" customHeight="1" s="59">
      <c r="Z270" s="64">
        <f>IF(Movimientos!B270=$G$4,Movimientos!A270,"")</f>
        <v/>
      </c>
    </row>
    <row r="271" ht="15" customHeight="1" s="59">
      <c r="Z271" s="64">
        <f>IF(Movimientos!B271=$G$4,Movimientos!A271,"")</f>
        <v/>
      </c>
    </row>
    <row r="272" ht="15" customHeight="1" s="59">
      <c r="Z272" s="64">
        <f>IF(Movimientos!B272=$G$4,Movimientos!A272,"")</f>
        <v/>
      </c>
    </row>
    <row r="273" ht="15" customHeight="1" s="59">
      <c r="Z273" s="64">
        <f>IF(Movimientos!B273=$G$4,Movimientos!A273,"")</f>
        <v/>
      </c>
    </row>
    <row r="274" ht="15" customHeight="1" s="59">
      <c r="Z274" s="64">
        <f>IF(Movimientos!B274=$G$4,Movimientos!A274,"")</f>
        <v/>
      </c>
    </row>
    <row r="275" ht="15" customHeight="1" s="59">
      <c r="Z275" s="64">
        <f>IF(Movimientos!B275=$G$4,Movimientos!A275,"")</f>
        <v/>
      </c>
    </row>
    <row r="276" ht="15" customHeight="1" s="59">
      <c r="Z276" s="64">
        <f>IF(Movimientos!B276=$G$4,Movimientos!A276,"")</f>
        <v/>
      </c>
    </row>
    <row r="277" ht="15" customHeight="1" s="59">
      <c r="Z277" s="64">
        <f>IF(Movimientos!B277=$G$4,Movimientos!A277,"")</f>
        <v/>
      </c>
    </row>
    <row r="278" ht="15" customHeight="1" s="59">
      <c r="Z278" s="64">
        <f>IF(Movimientos!B278=$G$4,Movimientos!A278,"")</f>
        <v/>
      </c>
    </row>
    <row r="279" ht="15" customHeight="1" s="59">
      <c r="Z279" s="64">
        <f>IF(Movimientos!B279=$G$4,Movimientos!A279,"")</f>
        <v/>
      </c>
    </row>
    <row r="280" ht="15" customHeight="1" s="59">
      <c r="Z280" s="64">
        <f>IF(Movimientos!B280=$G$4,Movimientos!A280,"")</f>
        <v/>
      </c>
    </row>
    <row r="281" ht="15" customHeight="1" s="59">
      <c r="Z281" s="64">
        <f>IF(Movimientos!B281=$G$4,Movimientos!A281,"")</f>
        <v/>
      </c>
    </row>
    <row r="282" ht="15" customHeight="1" s="59">
      <c r="Z282" s="64">
        <f>IF(Movimientos!B282=$G$4,Movimientos!A282,"")</f>
        <v/>
      </c>
    </row>
    <row r="283" ht="15" customHeight="1" s="59">
      <c r="Z283" s="64">
        <f>IF(Movimientos!B283=$G$4,Movimientos!A283,"")</f>
        <v/>
      </c>
    </row>
    <row r="284" ht="15" customHeight="1" s="59">
      <c r="Z284" s="64">
        <f>IF(Movimientos!B284=$G$4,Movimientos!A284,"")</f>
        <v/>
      </c>
    </row>
    <row r="285" ht="15" customHeight="1" s="59">
      <c r="Z285" s="64">
        <f>IF(Movimientos!B285=$G$4,Movimientos!A285,"")</f>
        <v/>
      </c>
    </row>
    <row r="286" ht="15" customHeight="1" s="59">
      <c r="Z286" s="64">
        <f>IF(Movimientos!B286=$G$4,Movimientos!A286,"")</f>
        <v/>
      </c>
    </row>
    <row r="287" ht="15" customHeight="1" s="59">
      <c r="Z287" s="64">
        <f>IF(Movimientos!B287=$G$4,Movimientos!A287,"")</f>
        <v/>
      </c>
    </row>
    <row r="288" ht="15" customHeight="1" s="59">
      <c r="Z288" s="64">
        <f>IF(Movimientos!B288=$G$4,Movimientos!A288,"")</f>
        <v/>
      </c>
    </row>
    <row r="289" ht="15" customHeight="1" s="59">
      <c r="Z289" s="64">
        <f>IF(Movimientos!B289=$G$4,Movimientos!A289,"")</f>
        <v/>
      </c>
    </row>
    <row r="290" ht="15" customHeight="1" s="59">
      <c r="Z290" s="64">
        <f>IF(Movimientos!B290=$G$4,Movimientos!A290,"")</f>
        <v/>
      </c>
    </row>
    <row r="291" ht="15" customHeight="1" s="59">
      <c r="Z291" s="64">
        <f>IF(Movimientos!B291=$G$4,Movimientos!A291,"")</f>
        <v/>
      </c>
    </row>
    <row r="292" ht="15" customHeight="1" s="59">
      <c r="Z292" s="64">
        <f>IF(Movimientos!B292=$G$4,Movimientos!A292,"")</f>
        <v/>
      </c>
    </row>
    <row r="293" ht="15" customHeight="1" s="59">
      <c r="Z293" s="64">
        <f>IF(Movimientos!B293=$G$4,Movimientos!A293,"")</f>
        <v/>
      </c>
    </row>
    <row r="294" ht="15" customHeight="1" s="59">
      <c r="Z294" s="64">
        <f>IF(Movimientos!B294=$G$4,Movimientos!A294,"")</f>
        <v/>
      </c>
    </row>
    <row r="295" ht="15" customHeight="1" s="59">
      <c r="Z295" s="64">
        <f>IF(Movimientos!B295=$G$4,Movimientos!A295,"")</f>
        <v/>
      </c>
    </row>
    <row r="296" ht="15" customHeight="1" s="59">
      <c r="Z296" s="64">
        <f>IF(Movimientos!B296=$G$4,Movimientos!A296,"")</f>
        <v/>
      </c>
    </row>
    <row r="297" ht="15" customHeight="1" s="59">
      <c r="Z297" s="64">
        <f>IF(Movimientos!B297=$G$4,Movimientos!A297,"")</f>
        <v/>
      </c>
    </row>
    <row r="298" ht="15" customHeight="1" s="59">
      <c r="Z298" s="64">
        <f>IF(Movimientos!B298=$G$4,Movimientos!A298,"")</f>
        <v/>
      </c>
    </row>
    <row r="299" ht="15" customHeight="1" s="59">
      <c r="Z299" s="64">
        <f>IF(Movimientos!B299=$G$4,Movimientos!A299,"")</f>
        <v/>
      </c>
    </row>
    <row r="300" ht="15" customHeight="1" s="59">
      <c r="Z300" s="64">
        <f>IF(Movimientos!B300=$G$4,Movimientos!A300,"")</f>
        <v/>
      </c>
    </row>
    <row r="301" ht="15" customHeight="1" s="59">
      <c r="Z301" s="64">
        <f>IF(Movimientos!B301=$G$4,Movimientos!A301,"")</f>
        <v/>
      </c>
    </row>
    <row r="302" ht="15" customHeight="1" s="59">
      <c r="Z302" s="64">
        <f>IF(Movimientos!B302=$G$4,Movimientos!A302,"")</f>
        <v/>
      </c>
    </row>
    <row r="303" ht="15" customHeight="1" s="59">
      <c r="Z303" s="64">
        <f>IF(Movimientos!B303=$G$4,Movimientos!A303,"")</f>
        <v/>
      </c>
    </row>
    <row r="304" ht="15" customHeight="1" s="59">
      <c r="Z304" s="64">
        <f>IF(Movimientos!B304=$G$4,Movimientos!A304,"")</f>
        <v/>
      </c>
    </row>
    <row r="305" ht="15" customHeight="1" s="59">
      <c r="Z305" s="64">
        <f>IF(Movimientos!B305=$G$4,Movimientos!A305,"")</f>
        <v/>
      </c>
    </row>
    <row r="306" ht="15" customHeight="1" s="59">
      <c r="Z306" s="64">
        <f>IF(Movimientos!B306=$G$4,Movimientos!A306,"")</f>
        <v/>
      </c>
    </row>
    <row r="307" ht="15" customHeight="1" s="59">
      <c r="Z307" s="64">
        <f>IF(Movimientos!B307=$G$4,Movimientos!A307,"")</f>
        <v/>
      </c>
    </row>
    <row r="308" ht="15" customHeight="1" s="59">
      <c r="Z308" s="64">
        <f>IF(Movimientos!B308=$G$4,Movimientos!A308,"")</f>
        <v/>
      </c>
    </row>
    <row r="309" ht="15" customHeight="1" s="59">
      <c r="Z309" s="64">
        <f>IF(Movimientos!B309=$G$4,Movimientos!A309,"")</f>
        <v/>
      </c>
    </row>
    <row r="310" ht="15" customHeight="1" s="59">
      <c r="Z310" s="64">
        <f>IF(Movimientos!B310=$G$4,Movimientos!A310,"")</f>
        <v/>
      </c>
    </row>
    <row r="311" ht="15" customHeight="1" s="59">
      <c r="Z311" s="64">
        <f>IF(Movimientos!B311=$G$4,Movimientos!A311,"")</f>
        <v/>
      </c>
    </row>
    <row r="312" ht="15" customHeight="1" s="59">
      <c r="Z312" s="64">
        <f>IF(Movimientos!B312=$G$4,Movimientos!A312,"")</f>
        <v/>
      </c>
    </row>
    <row r="313" ht="15" customHeight="1" s="59">
      <c r="Z313" s="64">
        <f>IF(Movimientos!B313=$G$4,Movimientos!A313,"")</f>
        <v/>
      </c>
    </row>
    <row r="314" ht="15" customHeight="1" s="59">
      <c r="Z314" s="64">
        <f>IF(Movimientos!B314=$G$4,Movimientos!A314,"")</f>
        <v/>
      </c>
    </row>
    <row r="315" ht="15" customHeight="1" s="59">
      <c r="Z315" s="64">
        <f>IF(Movimientos!B315=$G$4,Movimientos!A315,"")</f>
        <v/>
      </c>
    </row>
    <row r="316" ht="15" customHeight="1" s="59">
      <c r="Z316" s="64">
        <f>IF(Movimientos!B316=$G$4,Movimientos!A316,"")</f>
        <v/>
      </c>
    </row>
    <row r="317" ht="15" customHeight="1" s="59">
      <c r="Z317" s="64">
        <f>IF(Movimientos!B317=$G$4,Movimientos!A317,"")</f>
        <v/>
      </c>
    </row>
    <row r="318" ht="15" customHeight="1" s="59">
      <c r="Z318" s="64">
        <f>IF(Movimientos!B318=$G$4,Movimientos!A318,"")</f>
        <v/>
      </c>
    </row>
    <row r="319" ht="15" customHeight="1" s="59">
      <c r="Z319" s="64">
        <f>IF(Movimientos!B319=$G$4,Movimientos!A319,"")</f>
        <v/>
      </c>
    </row>
    <row r="320" ht="15" customHeight="1" s="59">
      <c r="Z320" s="64">
        <f>IF(Movimientos!B320=$G$4,Movimientos!A320,"")</f>
        <v/>
      </c>
    </row>
    <row r="321" ht="15" customHeight="1" s="59">
      <c r="Z321" s="64">
        <f>IF(Movimientos!B321=$G$4,Movimientos!A321,"")</f>
        <v/>
      </c>
    </row>
    <row r="322" ht="15" customHeight="1" s="59">
      <c r="Z322" s="64">
        <f>IF(Movimientos!B322=$G$4,Movimientos!A322,"")</f>
        <v/>
      </c>
    </row>
    <row r="323" ht="15" customHeight="1" s="59">
      <c r="Z323" s="64">
        <f>IF(Movimientos!B323=$G$4,Movimientos!A323,"")</f>
        <v/>
      </c>
    </row>
    <row r="324" ht="15" customHeight="1" s="59">
      <c r="Z324" s="64">
        <f>IF(Movimientos!B324=$G$4,Movimientos!A324,"")</f>
        <v/>
      </c>
    </row>
    <row r="325" ht="15" customHeight="1" s="59">
      <c r="Z325" s="64">
        <f>IF(Movimientos!B325=$G$4,Movimientos!A325,"")</f>
        <v/>
      </c>
    </row>
    <row r="326" ht="15" customHeight="1" s="59">
      <c r="Z326" s="64">
        <f>IF(Movimientos!B326=$G$4,Movimientos!A326,"")</f>
        <v/>
      </c>
    </row>
    <row r="327" ht="15" customHeight="1" s="59">
      <c r="Z327" s="64">
        <f>IF(Movimientos!B327=$G$4,Movimientos!A327,"")</f>
        <v/>
      </c>
    </row>
    <row r="328" ht="15" customHeight="1" s="59">
      <c r="Z328" s="64">
        <f>IF(Movimientos!B328=$G$4,Movimientos!A328,"")</f>
        <v/>
      </c>
    </row>
    <row r="329" ht="15" customHeight="1" s="59">
      <c r="Z329" s="64">
        <f>IF(Movimientos!B329=$G$4,Movimientos!A329,"")</f>
        <v/>
      </c>
    </row>
    <row r="330" ht="15" customHeight="1" s="59">
      <c r="Z330" s="64">
        <f>IF(Movimientos!B330=$G$4,Movimientos!A330,"")</f>
        <v/>
      </c>
    </row>
    <row r="331" ht="15" customHeight="1" s="59">
      <c r="Z331" s="64">
        <f>IF(Movimientos!B331=$G$4,Movimientos!A331,"")</f>
        <v/>
      </c>
    </row>
    <row r="332" ht="15" customHeight="1" s="59">
      <c r="Z332" s="64">
        <f>IF(Movimientos!B332=$G$4,Movimientos!A332,"")</f>
        <v/>
      </c>
    </row>
    <row r="333" ht="15" customHeight="1" s="59">
      <c r="Z333" s="64">
        <f>IF(Movimientos!B333=$G$4,Movimientos!A333,"")</f>
        <v/>
      </c>
    </row>
    <row r="334" ht="15" customHeight="1" s="59">
      <c r="Z334" s="64">
        <f>IF(Movimientos!B334=$G$4,Movimientos!A334,"")</f>
        <v/>
      </c>
    </row>
    <row r="335" ht="15" customHeight="1" s="59">
      <c r="Z335" s="64">
        <f>IF(Movimientos!B335=$G$4,Movimientos!A335,"")</f>
        <v/>
      </c>
    </row>
    <row r="336" ht="15" customHeight="1" s="59">
      <c r="Z336" s="64">
        <f>IF(Movimientos!B336=$G$4,Movimientos!A336,"")</f>
        <v/>
      </c>
    </row>
    <row r="337" ht="15" customHeight="1" s="59">
      <c r="Z337" s="64">
        <f>IF(Movimientos!B337=$G$4,Movimientos!A337,"")</f>
        <v/>
      </c>
    </row>
    <row r="338" ht="15" customHeight="1" s="59">
      <c r="Z338" s="64">
        <f>IF(Movimientos!B338=$G$4,Movimientos!A338,"")</f>
        <v/>
      </c>
    </row>
    <row r="339" ht="15" customHeight="1" s="59">
      <c r="Z339" s="64">
        <f>IF(Movimientos!B339=$G$4,Movimientos!A339,"")</f>
        <v/>
      </c>
    </row>
    <row r="340" ht="15" customHeight="1" s="59">
      <c r="Z340" s="64">
        <f>IF(Movimientos!B340=$G$4,Movimientos!A340,"")</f>
        <v/>
      </c>
    </row>
    <row r="341" ht="15" customHeight="1" s="59">
      <c r="Z341" s="64">
        <f>IF(Movimientos!B341=$G$4,Movimientos!A341,"")</f>
        <v/>
      </c>
    </row>
    <row r="342" ht="15" customHeight="1" s="59">
      <c r="Z342" s="64">
        <f>IF(Movimientos!B342=$G$4,Movimientos!A342,"")</f>
        <v/>
      </c>
    </row>
    <row r="343" ht="15" customHeight="1" s="59">
      <c r="Z343" s="64">
        <f>IF(Movimientos!B343=$G$4,Movimientos!A343,"")</f>
        <v/>
      </c>
    </row>
    <row r="344" ht="15" customHeight="1" s="59">
      <c r="Z344" s="64">
        <f>IF(Movimientos!B344=$G$4,Movimientos!A344,"")</f>
        <v/>
      </c>
    </row>
    <row r="345" ht="15" customHeight="1" s="59">
      <c r="Z345" s="64">
        <f>IF(Movimientos!B345=$G$4,Movimientos!A345,"")</f>
        <v/>
      </c>
    </row>
    <row r="346" ht="15" customHeight="1" s="59">
      <c r="Z346" s="64">
        <f>IF(Movimientos!B346=$G$4,Movimientos!A346,"")</f>
        <v/>
      </c>
    </row>
    <row r="347" ht="15" customHeight="1" s="59">
      <c r="Z347" s="64">
        <f>IF(Movimientos!B347=$G$4,Movimientos!A347,"")</f>
        <v/>
      </c>
    </row>
    <row r="348" ht="15" customHeight="1" s="59">
      <c r="Z348" s="64">
        <f>IF(Movimientos!B348=$G$4,Movimientos!A348,"")</f>
        <v/>
      </c>
    </row>
    <row r="349" ht="15" customHeight="1" s="59">
      <c r="Z349" s="64">
        <f>IF(Movimientos!B349=$G$4,Movimientos!A349,"")</f>
        <v/>
      </c>
    </row>
    <row r="350" ht="15" customHeight="1" s="59">
      <c r="Z350" s="64">
        <f>IF(Movimientos!B350=$G$4,Movimientos!A350,"")</f>
        <v/>
      </c>
    </row>
    <row r="351" ht="15" customHeight="1" s="59">
      <c r="Z351" s="64">
        <f>IF(Movimientos!B351=$G$4,Movimientos!A351,"")</f>
        <v/>
      </c>
    </row>
    <row r="352" ht="15" customHeight="1" s="59">
      <c r="Z352" s="64">
        <f>IF(Movimientos!B352=$G$4,Movimientos!A352,"")</f>
        <v/>
      </c>
    </row>
    <row r="353" ht="15" customHeight="1" s="59">
      <c r="Z353" s="64">
        <f>IF(Movimientos!B353=$G$4,Movimientos!A353,"")</f>
        <v/>
      </c>
    </row>
    <row r="354" ht="15" customHeight="1" s="59">
      <c r="Z354" s="64">
        <f>IF(Movimientos!B354=$G$4,Movimientos!A354,"")</f>
        <v/>
      </c>
    </row>
    <row r="355" ht="15" customHeight="1" s="59">
      <c r="Z355" s="64">
        <f>IF(Movimientos!B355=$G$4,Movimientos!A355,"")</f>
        <v/>
      </c>
    </row>
    <row r="356" ht="15" customHeight="1" s="59">
      <c r="Z356" s="64">
        <f>IF(Movimientos!B356=$G$4,Movimientos!A356,"")</f>
        <v/>
      </c>
    </row>
    <row r="357" ht="15" customHeight="1" s="59">
      <c r="Z357" s="64">
        <f>IF(Movimientos!B357=$G$4,Movimientos!A357,"")</f>
        <v/>
      </c>
    </row>
    <row r="358" ht="15" customHeight="1" s="59">
      <c r="Z358" s="64">
        <f>IF(Movimientos!B358=$G$4,Movimientos!A358,"")</f>
        <v/>
      </c>
    </row>
    <row r="359" ht="15" customHeight="1" s="59">
      <c r="Z359" s="64">
        <f>IF(Movimientos!B359=$G$4,Movimientos!A359,"")</f>
        <v/>
      </c>
    </row>
    <row r="360" ht="15" customHeight="1" s="59">
      <c r="Z360" s="64">
        <f>IF(Movimientos!B360=$G$4,Movimientos!A360,"")</f>
        <v/>
      </c>
    </row>
    <row r="361" ht="15" customHeight="1" s="59">
      <c r="Z361" s="64">
        <f>IF(Movimientos!B361=$G$4,Movimientos!A361,"")</f>
        <v/>
      </c>
    </row>
    <row r="362" ht="15" customHeight="1" s="59">
      <c r="Z362" s="64">
        <f>IF(Movimientos!B362=$G$4,Movimientos!A362,"")</f>
        <v/>
      </c>
    </row>
    <row r="363" ht="15" customHeight="1" s="59">
      <c r="Z363" s="64">
        <f>IF(Movimientos!B363=$G$4,Movimientos!A363,"")</f>
        <v/>
      </c>
    </row>
    <row r="364" ht="15" customHeight="1" s="59">
      <c r="Z364" s="64">
        <f>IF(Movimientos!B364=$G$4,Movimientos!A364,"")</f>
        <v/>
      </c>
    </row>
    <row r="365" ht="15" customHeight="1" s="59">
      <c r="Z365" s="64">
        <f>IF(Movimientos!B365=$G$4,Movimientos!A365,"")</f>
        <v/>
      </c>
    </row>
    <row r="366" ht="15" customHeight="1" s="59">
      <c r="Z366" s="64">
        <f>IF(Movimientos!B366=$G$4,Movimientos!A366,"")</f>
        <v/>
      </c>
    </row>
    <row r="367" ht="15" customHeight="1" s="59">
      <c r="Z367" s="64">
        <f>IF(Movimientos!B367=$G$4,Movimientos!A367,"")</f>
        <v/>
      </c>
    </row>
    <row r="368" ht="15" customHeight="1" s="59">
      <c r="Z368" s="64">
        <f>IF(Movimientos!B368=$G$4,Movimientos!A368,"")</f>
        <v/>
      </c>
    </row>
    <row r="369" ht="15" customHeight="1" s="59">
      <c r="Z369" s="64">
        <f>IF(Movimientos!B369=$G$4,Movimientos!A369,"")</f>
        <v/>
      </c>
    </row>
    <row r="370" ht="15" customHeight="1" s="59">
      <c r="Z370" s="64">
        <f>IF(Movimientos!B370=$G$4,Movimientos!A370,"")</f>
        <v/>
      </c>
    </row>
    <row r="371" ht="15" customHeight="1" s="59">
      <c r="Z371" s="64">
        <f>IF(Movimientos!B371=$G$4,Movimientos!A371,"")</f>
        <v/>
      </c>
    </row>
    <row r="372" ht="15" customHeight="1" s="59">
      <c r="Z372" s="64">
        <f>IF(Movimientos!B372=$G$4,Movimientos!A372,"")</f>
        <v/>
      </c>
    </row>
    <row r="373" ht="15" customHeight="1" s="59">
      <c r="Z373" s="64">
        <f>IF(Movimientos!B373=$G$4,Movimientos!A373,"")</f>
        <v/>
      </c>
    </row>
    <row r="374" ht="15" customHeight="1" s="59">
      <c r="Z374" s="64">
        <f>IF(Movimientos!B374=$G$4,Movimientos!A374,"")</f>
        <v/>
      </c>
    </row>
    <row r="375" ht="15" customHeight="1" s="59">
      <c r="Z375" s="64">
        <f>IF(Movimientos!B375=$G$4,Movimientos!A375,"")</f>
        <v/>
      </c>
    </row>
    <row r="376" ht="15" customHeight="1" s="59">
      <c r="Z376" s="64">
        <f>IF(Movimientos!B376=$G$4,Movimientos!A376,"")</f>
        <v/>
      </c>
    </row>
    <row r="377" ht="15" customHeight="1" s="59">
      <c r="Z377" s="64">
        <f>IF(Movimientos!B377=$G$4,Movimientos!A377,"")</f>
        <v/>
      </c>
    </row>
    <row r="378" ht="15" customHeight="1" s="59">
      <c r="Z378" s="64">
        <f>IF(Movimientos!B378=$G$4,Movimientos!A378,"")</f>
        <v/>
      </c>
    </row>
    <row r="379" ht="15" customHeight="1" s="59">
      <c r="Z379" s="64">
        <f>IF(Movimientos!B379=$G$4,Movimientos!A379,"")</f>
        <v/>
      </c>
    </row>
    <row r="380" ht="15" customHeight="1" s="59">
      <c r="Z380" s="64">
        <f>IF(Movimientos!B380=$G$4,Movimientos!A380,"")</f>
        <v/>
      </c>
    </row>
    <row r="381" ht="15" customHeight="1" s="59">
      <c r="Z381" s="64">
        <f>IF(Movimientos!B381=$G$4,Movimientos!A381,"")</f>
        <v/>
      </c>
    </row>
    <row r="382" ht="15" customHeight="1" s="59">
      <c r="Z382" s="64">
        <f>IF(Movimientos!B382=$G$4,Movimientos!A382,"")</f>
        <v/>
      </c>
    </row>
    <row r="383" ht="15" customHeight="1" s="59">
      <c r="Z383" s="64">
        <f>IF(Movimientos!B383=$G$4,Movimientos!A383,"")</f>
        <v/>
      </c>
    </row>
    <row r="384" ht="15" customHeight="1" s="59">
      <c r="Z384" s="64">
        <f>IF(Movimientos!B384=$G$4,Movimientos!A384,"")</f>
        <v/>
      </c>
    </row>
    <row r="385" ht="15" customHeight="1" s="59">
      <c r="Z385" s="64">
        <f>IF(Movimientos!B385=$G$4,Movimientos!A385,"")</f>
        <v/>
      </c>
    </row>
    <row r="386" ht="15" customHeight="1" s="59">
      <c r="Z386" s="64">
        <f>IF(Movimientos!B386=$G$4,Movimientos!A386,"")</f>
        <v/>
      </c>
    </row>
    <row r="387" ht="15" customHeight="1" s="59">
      <c r="Z387" s="64">
        <f>IF(Movimientos!B387=$G$4,Movimientos!A387,"")</f>
        <v/>
      </c>
    </row>
    <row r="388" ht="15" customHeight="1" s="59">
      <c r="Z388" s="64">
        <f>IF(Movimientos!B388=$G$4,Movimientos!A388,"")</f>
        <v/>
      </c>
    </row>
    <row r="389" ht="15" customHeight="1" s="59">
      <c r="Z389" s="64">
        <f>IF(Movimientos!B389=$G$4,Movimientos!A389,"")</f>
        <v/>
      </c>
    </row>
    <row r="390" ht="15" customHeight="1" s="59">
      <c r="Z390" s="64">
        <f>IF(Movimientos!B390=$G$4,Movimientos!A390,"")</f>
        <v/>
      </c>
    </row>
    <row r="391" ht="15" customHeight="1" s="59">
      <c r="Z391" s="64">
        <f>IF(Movimientos!B391=$G$4,Movimientos!A391,"")</f>
        <v/>
      </c>
    </row>
    <row r="392" ht="15" customHeight="1" s="59">
      <c r="Z392" s="64">
        <f>IF(Movimientos!B392=$G$4,Movimientos!A392,"")</f>
        <v/>
      </c>
    </row>
    <row r="393" ht="15" customHeight="1" s="59">
      <c r="Z393" s="64">
        <f>IF(Movimientos!B393=$G$4,Movimientos!A393,"")</f>
        <v/>
      </c>
    </row>
    <row r="394" ht="15" customHeight="1" s="59">
      <c r="Z394" s="64">
        <f>IF(Movimientos!B394=$G$4,Movimientos!A394,"")</f>
        <v/>
      </c>
    </row>
    <row r="395" ht="15" customHeight="1" s="59">
      <c r="Z395" s="64">
        <f>IF(Movimientos!B395=$G$4,Movimientos!A395,"")</f>
        <v/>
      </c>
    </row>
    <row r="396" ht="15" customHeight="1" s="59">
      <c r="Z396" s="64">
        <f>IF(Movimientos!B396=$G$4,Movimientos!A396,"")</f>
        <v/>
      </c>
    </row>
    <row r="397" ht="15" customHeight="1" s="59">
      <c r="Z397" s="64">
        <f>IF(Movimientos!B397=$G$4,Movimientos!A397,"")</f>
        <v/>
      </c>
    </row>
    <row r="398" ht="15" customHeight="1" s="59">
      <c r="Z398" s="64">
        <f>IF(Movimientos!B398=$G$4,Movimientos!A398,"")</f>
        <v/>
      </c>
    </row>
    <row r="399" ht="15" customHeight="1" s="59">
      <c r="Z399" s="64">
        <f>IF(Movimientos!B399=$G$4,Movimientos!A399,"")</f>
        <v/>
      </c>
    </row>
    <row r="400" ht="15" customHeight="1" s="59">
      <c r="Z400" s="64">
        <f>IF(Movimientos!B400=$G$4,Movimientos!A400,"")</f>
        <v/>
      </c>
    </row>
    <row r="401" ht="15" customHeight="1" s="59">
      <c r="Z401" s="64">
        <f>IF(Movimientos!B401=$G$4,Movimientos!A401,"")</f>
        <v/>
      </c>
    </row>
    <row r="402" ht="15" customHeight="1" s="59">
      <c r="Z402" s="64">
        <f>IF(Movimientos!B402=$G$4,Movimientos!A402,"")</f>
        <v/>
      </c>
    </row>
    <row r="403" ht="15" customHeight="1" s="59">
      <c r="Z403" s="64">
        <f>IF(Movimientos!B403=$G$4,Movimientos!A403,"")</f>
        <v/>
      </c>
    </row>
    <row r="404" ht="15" customHeight="1" s="59">
      <c r="Z404" s="64">
        <f>IF(Movimientos!B404=$G$4,Movimientos!A404,"")</f>
        <v/>
      </c>
    </row>
    <row r="405" ht="15" customHeight="1" s="59">
      <c r="Z405" s="64">
        <f>IF(Movimientos!B405=$G$4,Movimientos!A405,"")</f>
        <v/>
      </c>
    </row>
    <row r="406" ht="15" customHeight="1" s="59">
      <c r="Z406" s="64">
        <f>IF(Movimientos!B406=$G$4,Movimientos!A406,"")</f>
        <v/>
      </c>
    </row>
    <row r="407" ht="15" customHeight="1" s="59">
      <c r="Z407" s="64">
        <f>IF(Movimientos!B407=$G$4,Movimientos!A407,"")</f>
        <v/>
      </c>
    </row>
    <row r="408" ht="15" customHeight="1" s="59">
      <c r="Z408" s="64">
        <f>IF(Movimientos!B408=$G$4,Movimientos!A408,"")</f>
        <v/>
      </c>
    </row>
    <row r="409" ht="15" customHeight="1" s="59">
      <c r="Z409" s="64">
        <f>IF(Movimientos!B409=$G$4,Movimientos!A409,"")</f>
        <v/>
      </c>
    </row>
    <row r="410" ht="15" customHeight="1" s="59">
      <c r="Z410" s="64">
        <f>IF(Movimientos!B410=$G$4,Movimientos!A410,"")</f>
        <v/>
      </c>
    </row>
    <row r="411" ht="15" customHeight="1" s="59">
      <c r="Z411" s="64">
        <f>IF(Movimientos!B411=$G$4,Movimientos!A411,"")</f>
        <v/>
      </c>
    </row>
    <row r="412" ht="15" customHeight="1" s="59">
      <c r="Z412" s="64">
        <f>IF(Movimientos!B412=$G$4,Movimientos!A412,"")</f>
        <v/>
      </c>
    </row>
    <row r="413" ht="15" customHeight="1" s="59">
      <c r="Z413" s="64">
        <f>IF(Movimientos!B413=$G$4,Movimientos!A413,"")</f>
        <v/>
      </c>
    </row>
    <row r="414" ht="15" customHeight="1" s="59">
      <c r="Z414" s="64">
        <f>IF(Movimientos!B414=$G$4,Movimientos!A414,"")</f>
        <v/>
      </c>
    </row>
    <row r="415" ht="15" customHeight="1" s="59">
      <c r="Z415" s="64">
        <f>IF(Movimientos!B415=$G$4,Movimientos!A415,"")</f>
        <v/>
      </c>
    </row>
    <row r="416" ht="15" customHeight="1" s="59">
      <c r="Z416" s="64">
        <f>IF(Movimientos!B416=$G$4,Movimientos!A416,"")</f>
        <v/>
      </c>
    </row>
    <row r="417" ht="15" customHeight="1" s="59">
      <c r="Z417" s="64">
        <f>IF(Movimientos!B417=$G$4,Movimientos!A417,"")</f>
        <v/>
      </c>
    </row>
    <row r="418" ht="15" customHeight="1" s="59">
      <c r="Z418" s="64">
        <f>IF(Movimientos!B418=$G$4,Movimientos!A418,"")</f>
        <v/>
      </c>
    </row>
    <row r="419" ht="15" customHeight="1" s="59">
      <c r="Z419" s="64">
        <f>IF(Movimientos!B419=$G$4,Movimientos!A419,"")</f>
        <v/>
      </c>
    </row>
    <row r="420" ht="15" customHeight="1" s="59">
      <c r="Z420" s="64">
        <f>IF(Movimientos!B420=$G$4,Movimientos!A420,"")</f>
        <v/>
      </c>
    </row>
    <row r="421" ht="15" customHeight="1" s="59">
      <c r="Z421" s="64">
        <f>IF(Movimientos!B421=$G$4,Movimientos!A421,"")</f>
        <v/>
      </c>
    </row>
    <row r="422" ht="15" customHeight="1" s="59">
      <c r="Z422" s="64">
        <f>IF(Movimientos!B422=$G$4,Movimientos!A422,"")</f>
        <v/>
      </c>
    </row>
    <row r="423" ht="15" customHeight="1" s="59">
      <c r="Z423" s="64">
        <f>IF(Movimientos!B423=$G$4,Movimientos!A423,"")</f>
        <v/>
      </c>
    </row>
    <row r="424" ht="15" customHeight="1" s="59">
      <c r="Z424" s="64">
        <f>IF(Movimientos!B424=$G$4,Movimientos!A424,"")</f>
        <v/>
      </c>
    </row>
    <row r="425" ht="15" customHeight="1" s="59">
      <c r="Z425" s="64">
        <f>IF(Movimientos!B425=$G$4,Movimientos!A425,"")</f>
        <v/>
      </c>
    </row>
    <row r="426" ht="15" customHeight="1" s="59">
      <c r="Z426" s="64">
        <f>IF(Movimientos!B426=$G$4,Movimientos!A426,"")</f>
        <v/>
      </c>
    </row>
    <row r="427" ht="15" customHeight="1" s="59">
      <c r="Z427" s="64">
        <f>IF(Movimientos!B427=$G$4,Movimientos!A427,"")</f>
        <v/>
      </c>
    </row>
    <row r="428" ht="15" customHeight="1" s="59">
      <c r="Z428" s="64">
        <f>IF(Movimientos!B428=$G$4,Movimientos!A428,"")</f>
        <v/>
      </c>
    </row>
    <row r="429" ht="15" customHeight="1" s="59">
      <c r="Z429" s="64">
        <f>IF(Movimientos!B429=$G$4,Movimientos!A429,"")</f>
        <v/>
      </c>
    </row>
    <row r="430" ht="15" customHeight="1" s="59">
      <c r="Z430" s="64">
        <f>IF(Movimientos!B430=$G$4,Movimientos!A430,"")</f>
        <v/>
      </c>
    </row>
    <row r="431" ht="15" customHeight="1" s="59">
      <c r="Z431" s="64">
        <f>IF(Movimientos!B431=$G$4,Movimientos!A431,"")</f>
        <v/>
      </c>
    </row>
    <row r="432" ht="15" customHeight="1" s="59">
      <c r="Z432" s="64">
        <f>IF(Movimientos!B432=$G$4,Movimientos!A432,"")</f>
        <v/>
      </c>
    </row>
    <row r="433" ht="15" customHeight="1" s="59">
      <c r="Z433" s="64">
        <f>IF(Movimientos!B433=$G$4,Movimientos!A433,"")</f>
        <v/>
      </c>
    </row>
    <row r="434" ht="15" customHeight="1" s="59">
      <c r="Z434" s="64">
        <f>IF(Movimientos!B434=$G$4,Movimientos!A434,"")</f>
        <v/>
      </c>
    </row>
    <row r="435" ht="15" customHeight="1" s="59">
      <c r="Z435" s="64">
        <f>IF(Movimientos!B435=$G$4,Movimientos!A435,"")</f>
        <v/>
      </c>
    </row>
    <row r="436" ht="15" customHeight="1" s="59">
      <c r="Z436" s="64">
        <f>IF(Movimientos!B436=$G$4,Movimientos!A436,"")</f>
        <v/>
      </c>
    </row>
    <row r="437" ht="15" customHeight="1" s="59">
      <c r="Z437" s="64">
        <f>IF(Movimientos!B437=$G$4,Movimientos!A437,"")</f>
        <v/>
      </c>
    </row>
    <row r="438" ht="15" customHeight="1" s="59">
      <c r="Z438" s="64">
        <f>IF(Movimientos!B438=$G$4,Movimientos!A438,"")</f>
        <v/>
      </c>
    </row>
    <row r="439" ht="15" customHeight="1" s="59">
      <c r="Z439" s="64">
        <f>IF(Movimientos!B439=$G$4,Movimientos!A439,"")</f>
        <v/>
      </c>
    </row>
    <row r="440" ht="15" customHeight="1" s="59">
      <c r="Z440" s="64">
        <f>IF(Movimientos!B440=$G$4,Movimientos!A440,"")</f>
        <v/>
      </c>
    </row>
    <row r="441" ht="15" customHeight="1" s="59">
      <c r="Z441" s="64">
        <f>IF(Movimientos!B441=$G$4,Movimientos!A441,"")</f>
        <v/>
      </c>
    </row>
    <row r="442" ht="15" customHeight="1" s="59">
      <c r="Z442" s="64">
        <f>IF(Movimientos!B442=$G$4,Movimientos!A442,"")</f>
        <v/>
      </c>
    </row>
    <row r="443" ht="15" customHeight="1" s="59">
      <c r="Z443" s="64">
        <f>IF(Movimientos!B443=$G$4,Movimientos!A443,"")</f>
        <v/>
      </c>
    </row>
    <row r="444" ht="15" customHeight="1" s="59">
      <c r="Z444" s="64">
        <f>IF(Movimientos!B444=$G$4,Movimientos!A444,"")</f>
        <v/>
      </c>
    </row>
    <row r="445" ht="15" customHeight="1" s="59">
      <c r="Z445" s="64">
        <f>IF(Movimientos!B445=$G$4,Movimientos!A445,"")</f>
        <v/>
      </c>
    </row>
    <row r="446" ht="15" customHeight="1" s="59">
      <c r="Z446" s="64">
        <f>IF(Movimientos!B446=$G$4,Movimientos!A446,"")</f>
        <v/>
      </c>
    </row>
    <row r="447" ht="15" customHeight="1" s="59">
      <c r="Z447" s="64">
        <f>IF(Movimientos!B447=$G$4,Movimientos!A447,"")</f>
        <v/>
      </c>
    </row>
    <row r="448" ht="15" customHeight="1" s="59">
      <c r="Z448" s="64">
        <f>IF(Movimientos!B448=$G$4,Movimientos!A448,"")</f>
        <v/>
      </c>
    </row>
    <row r="449" ht="15" customHeight="1" s="59">
      <c r="Z449" s="64">
        <f>IF(Movimientos!B449=$G$4,Movimientos!A449,"")</f>
        <v/>
      </c>
    </row>
    <row r="450" ht="15" customHeight="1" s="59">
      <c r="Z450" s="64">
        <f>IF(Movimientos!B450=$G$4,Movimientos!A450,"")</f>
        <v/>
      </c>
    </row>
    <row r="451" ht="15" customHeight="1" s="59">
      <c r="Z451" s="64">
        <f>IF(Movimientos!B451=$G$4,Movimientos!A451,"")</f>
        <v/>
      </c>
    </row>
    <row r="452" ht="15" customHeight="1" s="59">
      <c r="Z452" s="64">
        <f>IF(Movimientos!B452=$G$4,Movimientos!A452,"")</f>
        <v/>
      </c>
    </row>
    <row r="453" ht="15" customHeight="1" s="59">
      <c r="Z453" s="64">
        <f>IF(Movimientos!B453=$G$4,Movimientos!A453,"")</f>
        <v/>
      </c>
    </row>
    <row r="454" ht="15" customHeight="1" s="59">
      <c r="Z454" s="64">
        <f>IF(Movimientos!B454=$G$4,Movimientos!A454,"")</f>
        <v/>
      </c>
    </row>
    <row r="455" ht="15" customHeight="1" s="59">
      <c r="Z455" s="64">
        <f>IF(Movimientos!B455=$G$4,Movimientos!A455,"")</f>
        <v/>
      </c>
    </row>
    <row r="456" ht="15" customHeight="1" s="59">
      <c r="Z456" s="64">
        <f>IF(Movimientos!B456=$G$4,Movimientos!A456,"")</f>
        <v/>
      </c>
    </row>
    <row r="457" ht="15" customHeight="1" s="59">
      <c r="Z457" s="64">
        <f>IF(Movimientos!B457=$G$4,Movimientos!A457,"")</f>
        <v/>
      </c>
    </row>
    <row r="458" ht="15" customHeight="1" s="59">
      <c r="Z458" s="64">
        <f>IF(Movimientos!B458=$G$4,Movimientos!A458,"")</f>
        <v/>
      </c>
    </row>
    <row r="459" ht="15" customHeight="1" s="59">
      <c r="Z459" s="64">
        <f>IF(Movimientos!B459=$G$4,Movimientos!A459,"")</f>
        <v/>
      </c>
    </row>
    <row r="460" ht="15" customHeight="1" s="59">
      <c r="Z460" s="64">
        <f>IF(Movimientos!B460=$G$4,Movimientos!A460,"")</f>
        <v/>
      </c>
    </row>
    <row r="461" ht="15" customHeight="1" s="59">
      <c r="Z461" s="64">
        <f>IF(Movimientos!B461=$G$4,Movimientos!A461,"")</f>
        <v/>
      </c>
    </row>
    <row r="462" ht="15" customHeight="1" s="59">
      <c r="Z462" s="64">
        <f>IF(Movimientos!B462=$G$4,Movimientos!A462,"")</f>
        <v/>
      </c>
    </row>
    <row r="463" ht="15" customHeight="1" s="59">
      <c r="Z463" s="64">
        <f>IF(Movimientos!B463=$G$4,Movimientos!A463,"")</f>
        <v/>
      </c>
    </row>
    <row r="464" ht="15" customHeight="1" s="59">
      <c r="Z464" s="64">
        <f>IF(Movimientos!B464=$G$4,Movimientos!A464,"")</f>
        <v/>
      </c>
    </row>
    <row r="465" ht="15" customHeight="1" s="59">
      <c r="Z465" s="64">
        <f>IF(Movimientos!B465=$G$4,Movimientos!A465,"")</f>
        <v/>
      </c>
    </row>
    <row r="466" ht="15" customHeight="1" s="59">
      <c r="Z466" s="64">
        <f>IF(Movimientos!B466=$G$4,Movimientos!A466,"")</f>
        <v/>
      </c>
    </row>
    <row r="467" ht="15" customHeight="1" s="59">
      <c r="Z467" s="64">
        <f>IF(Movimientos!B467=$G$4,Movimientos!A467,"")</f>
        <v/>
      </c>
    </row>
    <row r="468" ht="15" customHeight="1" s="59">
      <c r="Z468" s="64">
        <f>IF(Movimientos!B468=$G$4,Movimientos!A468,"")</f>
        <v/>
      </c>
    </row>
    <row r="469" ht="15" customHeight="1" s="59">
      <c r="Z469" s="64">
        <f>IF(Movimientos!B469=$G$4,Movimientos!A469,"")</f>
        <v/>
      </c>
    </row>
    <row r="470" ht="15" customHeight="1" s="59">
      <c r="Z470" s="64">
        <f>IF(Movimientos!B470=$G$4,Movimientos!A470,"")</f>
        <v/>
      </c>
    </row>
    <row r="471" ht="15" customHeight="1" s="59">
      <c r="Z471" s="64">
        <f>IF(Movimientos!B471=$G$4,Movimientos!A471,"")</f>
        <v/>
      </c>
    </row>
    <row r="472" ht="15" customHeight="1" s="59">
      <c r="Z472" s="64">
        <f>IF(Movimientos!B472=$G$4,Movimientos!A472,"")</f>
        <v/>
      </c>
    </row>
    <row r="473" ht="15" customHeight="1" s="59">
      <c r="Z473" s="64">
        <f>IF(Movimientos!B473=$G$4,Movimientos!A473,"")</f>
        <v/>
      </c>
    </row>
    <row r="474" ht="15" customHeight="1" s="59">
      <c r="Z474" s="64">
        <f>IF(Movimientos!B474=$G$4,Movimientos!A474,"")</f>
        <v/>
      </c>
    </row>
    <row r="475" ht="15" customHeight="1" s="59">
      <c r="Z475" s="64">
        <f>IF(Movimientos!B475=$G$4,Movimientos!A475,"")</f>
        <v/>
      </c>
    </row>
    <row r="476" ht="15" customHeight="1" s="59">
      <c r="Z476" s="64">
        <f>IF(Movimientos!B476=$G$4,Movimientos!A476,"")</f>
        <v/>
      </c>
    </row>
    <row r="477" ht="15" customHeight="1" s="59">
      <c r="Z477" s="64">
        <f>IF(Movimientos!B477=$G$4,Movimientos!A477,"")</f>
        <v/>
      </c>
    </row>
    <row r="478" ht="15" customHeight="1" s="59">
      <c r="Z478" s="64">
        <f>IF(Movimientos!B478=$G$4,Movimientos!A478,"")</f>
        <v/>
      </c>
    </row>
    <row r="479" ht="15" customHeight="1" s="59">
      <c r="Z479" s="64">
        <f>IF(Movimientos!B479=$G$4,Movimientos!A479,"")</f>
        <v/>
      </c>
    </row>
    <row r="480" ht="15" customHeight="1" s="59">
      <c r="Z480" s="64">
        <f>IF(Movimientos!B480=$G$4,Movimientos!A480,"")</f>
        <v/>
      </c>
    </row>
    <row r="481" ht="15" customHeight="1" s="59">
      <c r="Z481" s="64">
        <f>IF(Movimientos!B481=$G$4,Movimientos!A481,"")</f>
        <v/>
      </c>
    </row>
    <row r="482" ht="15" customHeight="1" s="59">
      <c r="Z482" s="64">
        <f>IF(Movimientos!B482=$G$4,Movimientos!A482,"")</f>
        <v/>
      </c>
    </row>
    <row r="483" ht="15" customHeight="1" s="59">
      <c r="Z483" s="64">
        <f>IF(Movimientos!B483=$G$4,Movimientos!A483,"")</f>
        <v/>
      </c>
    </row>
    <row r="484" ht="15" customHeight="1" s="59">
      <c r="Z484" s="64">
        <f>IF(Movimientos!B484=$G$4,Movimientos!A484,"")</f>
        <v/>
      </c>
    </row>
    <row r="485" ht="15" customHeight="1" s="59">
      <c r="Z485" s="64">
        <f>IF(Movimientos!B485=$G$4,Movimientos!A485,"")</f>
        <v/>
      </c>
    </row>
    <row r="486" ht="15" customHeight="1" s="59">
      <c r="Z486" s="64">
        <f>IF(Movimientos!B486=$G$4,Movimientos!A486,"")</f>
        <v/>
      </c>
    </row>
    <row r="487" ht="15" customHeight="1" s="59">
      <c r="Z487" s="64">
        <f>IF(Movimientos!B487=$G$4,Movimientos!A487,"")</f>
        <v/>
      </c>
    </row>
    <row r="488" ht="15" customHeight="1" s="59">
      <c r="Z488" s="64">
        <f>IF(Movimientos!B488=$G$4,Movimientos!A488,"")</f>
        <v/>
      </c>
    </row>
    <row r="489" ht="15" customHeight="1" s="59">
      <c r="Z489" s="64">
        <f>IF(Movimientos!B489=$G$4,Movimientos!A489,"")</f>
        <v/>
      </c>
    </row>
    <row r="490" ht="15" customHeight="1" s="59">
      <c r="Z490" s="64">
        <f>IF(Movimientos!B490=$G$4,Movimientos!A490,"")</f>
        <v/>
      </c>
    </row>
    <row r="491" ht="15" customHeight="1" s="59">
      <c r="Z491" s="64">
        <f>IF(Movimientos!B491=$G$4,Movimientos!A491,"")</f>
        <v/>
      </c>
    </row>
    <row r="492" ht="15" customHeight="1" s="59">
      <c r="Z492" s="64">
        <f>IF(Movimientos!B492=$G$4,Movimientos!A492,"")</f>
        <v/>
      </c>
    </row>
    <row r="493" ht="15" customHeight="1" s="59">
      <c r="Z493" s="64">
        <f>IF(Movimientos!B493=$G$4,Movimientos!A493,"")</f>
        <v/>
      </c>
    </row>
    <row r="494" ht="15" customHeight="1" s="59">
      <c r="Z494" s="64">
        <f>IF(Movimientos!B494=$G$4,Movimientos!A494,"")</f>
        <v/>
      </c>
    </row>
    <row r="495" ht="15" customHeight="1" s="59">
      <c r="Z495" s="64">
        <f>IF(Movimientos!B495=$G$4,Movimientos!A495,"")</f>
        <v/>
      </c>
    </row>
    <row r="496" ht="15" customHeight="1" s="59">
      <c r="Z496" s="64">
        <f>IF(Movimientos!B496=$G$4,Movimientos!A496,"")</f>
        <v/>
      </c>
    </row>
    <row r="497" ht="15" customHeight="1" s="59">
      <c r="Z497" s="64">
        <f>IF(Movimientos!B497=$G$4,Movimientos!A497,"")</f>
        <v/>
      </c>
    </row>
    <row r="498" ht="15" customHeight="1" s="59">
      <c r="Z498" s="64">
        <f>IF(Movimientos!B498=$G$4,Movimientos!A498,"")</f>
        <v/>
      </c>
    </row>
    <row r="499" ht="15" customHeight="1" s="59">
      <c r="Z499" s="64">
        <f>IF(Movimientos!B499=$G$4,Movimientos!A499,"")</f>
        <v/>
      </c>
    </row>
    <row r="500" ht="15" customHeight="1" s="59">
      <c r="Z500" s="64">
        <f>IF(Movimientos!B500=$G$4,Movimientos!A500,"")</f>
        <v/>
      </c>
    </row>
    <row r="501" ht="15" customHeight="1" s="59">
      <c r="Z501" s="64">
        <f>IF(Movimientos!B501=$G$4,Movimientos!A501,"")</f>
        <v/>
      </c>
    </row>
    <row r="502" ht="15" customHeight="1" s="59">
      <c r="Z502" s="64">
        <f>IF(Movimientos!B502=$G$4,Movimientos!A502,"")</f>
        <v/>
      </c>
    </row>
    <row r="503" ht="15" customHeight="1" s="59">
      <c r="Z503" s="64">
        <f>IF(Movimientos!B503=$G$4,Movimientos!A503,"")</f>
        <v/>
      </c>
    </row>
    <row r="504" ht="15" customHeight="1" s="59">
      <c r="Z504" s="64">
        <f>IF(Movimientos!B504=$G$4,Movimientos!A504,"")</f>
        <v/>
      </c>
    </row>
    <row r="505" ht="15" customHeight="1" s="59">
      <c r="Z505" s="64">
        <f>IF(Movimientos!B505=$G$4,Movimientos!A505,"")</f>
        <v/>
      </c>
    </row>
    <row r="506" ht="15" customHeight="1" s="59">
      <c r="Z506" s="64">
        <f>IF(Movimientos!B506=$G$4,Movimientos!A506,"")</f>
        <v/>
      </c>
    </row>
    <row r="507" ht="15" customHeight="1" s="59">
      <c r="Z507" s="64">
        <f>IF(Movimientos!B507=$G$4,Movimientos!A507,"")</f>
        <v/>
      </c>
    </row>
    <row r="508" ht="15" customHeight="1" s="59">
      <c r="Z508" s="64">
        <f>IF(Movimientos!B508=$G$4,Movimientos!A508,"")</f>
        <v/>
      </c>
    </row>
    <row r="509" ht="15" customHeight="1" s="59">
      <c r="Z509" s="64">
        <f>IF(Movimientos!B509=$G$4,Movimientos!A509,"")</f>
        <v/>
      </c>
    </row>
    <row r="510" ht="15" customHeight="1" s="59">
      <c r="Z510" s="64">
        <f>IF(Movimientos!B510=$G$4,Movimientos!A510,"")</f>
        <v/>
      </c>
    </row>
    <row r="511" ht="15" customHeight="1" s="59">
      <c r="Z511" s="64">
        <f>IF(Movimientos!B511=$G$4,Movimientos!A511,"")</f>
        <v/>
      </c>
    </row>
    <row r="512" ht="15" customHeight="1" s="59">
      <c r="Z512" s="64">
        <f>IF(Movimientos!B512=$G$4,Movimientos!A512,"")</f>
        <v/>
      </c>
    </row>
    <row r="513" ht="15" customHeight="1" s="59">
      <c r="Z513" s="64">
        <f>IF(Movimientos!B513=$G$4,Movimientos!A513,"")</f>
        <v/>
      </c>
    </row>
    <row r="514" ht="15" customHeight="1" s="59">
      <c r="Z514" s="64">
        <f>IF(Movimientos!B514=$G$4,Movimientos!A514,"")</f>
        <v/>
      </c>
    </row>
    <row r="515" ht="15" customHeight="1" s="59">
      <c r="Z515" s="64">
        <f>IF(Movimientos!B515=$G$4,Movimientos!A515,"")</f>
        <v/>
      </c>
    </row>
    <row r="516" ht="15" customHeight="1" s="59">
      <c r="Z516" s="64">
        <f>IF(Movimientos!B516=$G$4,Movimientos!A516,"")</f>
        <v/>
      </c>
    </row>
    <row r="517" ht="15" customHeight="1" s="59">
      <c r="Z517" s="64">
        <f>IF(Movimientos!B517=$G$4,Movimientos!A517,"")</f>
        <v/>
      </c>
    </row>
    <row r="518" ht="15" customHeight="1" s="59">
      <c r="Z518" s="64">
        <f>IF(Movimientos!B518=$G$4,Movimientos!A518,"")</f>
        <v/>
      </c>
    </row>
    <row r="519" ht="15" customHeight="1" s="59">
      <c r="Z519" s="64">
        <f>IF(Movimientos!B519=$G$4,Movimientos!A519,"")</f>
        <v/>
      </c>
    </row>
    <row r="520" ht="15" customHeight="1" s="59">
      <c r="Z520" s="64">
        <f>IF(Movimientos!B520=$G$4,Movimientos!A520,"")</f>
        <v/>
      </c>
    </row>
    <row r="521" ht="15" customHeight="1" s="59">
      <c r="Z521" s="64">
        <f>IF(Movimientos!B521=$G$4,Movimientos!A521,"")</f>
        <v/>
      </c>
    </row>
    <row r="522" ht="15" customHeight="1" s="59">
      <c r="Z522" s="64">
        <f>IF(Movimientos!B522=$G$4,Movimientos!A522,"")</f>
        <v/>
      </c>
    </row>
    <row r="523" ht="15" customHeight="1" s="59">
      <c r="Z523" s="64">
        <f>IF(Movimientos!B523=$G$4,Movimientos!A523,"")</f>
        <v/>
      </c>
    </row>
    <row r="524" ht="15" customHeight="1" s="59">
      <c r="Z524" s="64">
        <f>IF(Movimientos!B524=$G$4,Movimientos!A524,"")</f>
        <v/>
      </c>
    </row>
    <row r="525" ht="15" customHeight="1" s="59">
      <c r="Z525" s="64">
        <f>IF(Movimientos!B525=$G$4,Movimientos!A525,"")</f>
        <v/>
      </c>
    </row>
    <row r="526" ht="15" customHeight="1" s="59">
      <c r="Z526" s="64">
        <f>IF(Movimientos!B526=$G$4,Movimientos!A526,"")</f>
        <v/>
      </c>
    </row>
    <row r="527" ht="15" customHeight="1" s="59">
      <c r="Z527" s="64">
        <f>IF(Movimientos!B527=$G$4,Movimientos!A527,"")</f>
        <v/>
      </c>
    </row>
    <row r="528" ht="15" customHeight="1" s="59">
      <c r="Z528" s="64">
        <f>IF(Movimientos!B528=$G$4,Movimientos!A528,"")</f>
        <v/>
      </c>
    </row>
    <row r="529" ht="15" customHeight="1" s="59">
      <c r="Z529" s="64">
        <f>IF(Movimientos!B529=$G$4,Movimientos!A529,"")</f>
        <v/>
      </c>
    </row>
    <row r="530" ht="15" customHeight="1" s="59">
      <c r="Z530" s="64">
        <f>IF(Movimientos!B530=$G$4,Movimientos!A530,"")</f>
        <v/>
      </c>
    </row>
    <row r="531" ht="15" customHeight="1" s="59">
      <c r="Z531" s="64">
        <f>IF(Movimientos!B531=$G$4,Movimientos!A531,"")</f>
        <v/>
      </c>
    </row>
    <row r="532" ht="15" customHeight="1" s="59">
      <c r="Z532" s="64">
        <f>IF(Movimientos!B532=$G$4,Movimientos!A532,"")</f>
        <v/>
      </c>
    </row>
    <row r="533" ht="15" customHeight="1" s="59">
      <c r="Z533" s="64">
        <f>IF(Movimientos!B533=$G$4,Movimientos!A533,"")</f>
        <v/>
      </c>
    </row>
    <row r="534" ht="15" customHeight="1" s="59">
      <c r="Z534" s="64">
        <f>IF(Movimientos!B534=$G$4,Movimientos!A534,"")</f>
        <v/>
      </c>
    </row>
    <row r="535" ht="15" customHeight="1" s="59">
      <c r="Z535" s="64">
        <f>IF(Movimientos!B535=$G$4,Movimientos!A535,"")</f>
        <v/>
      </c>
    </row>
    <row r="536" ht="15" customHeight="1" s="59">
      <c r="Z536" s="64">
        <f>IF(Movimientos!B536=$G$4,Movimientos!A536,"")</f>
        <v/>
      </c>
    </row>
    <row r="537" ht="15" customHeight="1" s="59">
      <c r="Z537" s="64">
        <f>IF(Movimientos!B537=$G$4,Movimientos!A537,"")</f>
        <v/>
      </c>
    </row>
    <row r="538" ht="15" customHeight="1" s="59">
      <c r="Z538" s="64">
        <f>IF(Movimientos!B538=$G$4,Movimientos!A538,"")</f>
        <v/>
      </c>
    </row>
    <row r="539" ht="15" customHeight="1" s="59">
      <c r="Z539" s="64">
        <f>IF(Movimientos!B539=$G$4,Movimientos!A539,"")</f>
        <v/>
      </c>
    </row>
    <row r="540" ht="15" customHeight="1" s="59">
      <c r="Z540" s="64">
        <f>IF(Movimientos!B540=$G$4,Movimientos!A540,"")</f>
        <v/>
      </c>
    </row>
    <row r="541" ht="15" customHeight="1" s="59">
      <c r="Z541" s="64">
        <f>IF(Movimientos!B541=$G$4,Movimientos!A541,"")</f>
        <v/>
      </c>
    </row>
    <row r="542" ht="15" customHeight="1" s="59">
      <c r="Z542" s="64">
        <f>IF(Movimientos!B542=$G$4,Movimientos!A542,"")</f>
        <v/>
      </c>
    </row>
    <row r="543" ht="15" customHeight="1" s="59">
      <c r="Z543" s="64">
        <f>IF(Movimientos!B543=$G$4,Movimientos!A543,"")</f>
        <v/>
      </c>
    </row>
    <row r="544" ht="15" customHeight="1" s="59">
      <c r="Z544" s="64">
        <f>IF(Movimientos!B544=$G$4,Movimientos!A544,"")</f>
        <v/>
      </c>
    </row>
    <row r="545" ht="15" customHeight="1" s="59">
      <c r="Z545" s="64">
        <f>IF(Movimientos!B545=$G$4,Movimientos!A545,"")</f>
        <v/>
      </c>
    </row>
    <row r="546" ht="15" customHeight="1" s="59">
      <c r="Z546" s="64">
        <f>IF(Movimientos!B546=$G$4,Movimientos!A546,"")</f>
        <v/>
      </c>
    </row>
    <row r="547" ht="15" customHeight="1" s="59">
      <c r="Z547" s="64">
        <f>IF(Movimientos!B547=$G$4,Movimientos!A547,"")</f>
        <v/>
      </c>
    </row>
    <row r="548" ht="15" customHeight="1" s="59">
      <c r="Z548" s="64">
        <f>IF(Movimientos!B548=$G$4,Movimientos!A548,"")</f>
        <v/>
      </c>
    </row>
    <row r="549" ht="15" customHeight="1" s="59">
      <c r="Z549" s="64">
        <f>IF(Movimientos!B549=$G$4,Movimientos!A549,"")</f>
        <v/>
      </c>
    </row>
    <row r="550" ht="15" customHeight="1" s="59">
      <c r="Z550" s="64">
        <f>IF(Movimientos!B550=$G$4,Movimientos!A550,"")</f>
        <v/>
      </c>
    </row>
    <row r="551" ht="15" customHeight="1" s="59">
      <c r="Z551" s="64">
        <f>IF(Movimientos!B551=$G$4,Movimientos!A551,"")</f>
        <v/>
      </c>
    </row>
    <row r="552" ht="15" customHeight="1" s="59">
      <c r="Z552" s="64">
        <f>IF(Movimientos!B552=$G$4,Movimientos!A552,"")</f>
        <v/>
      </c>
    </row>
    <row r="553" ht="15" customHeight="1" s="59">
      <c r="Z553" s="64">
        <f>IF(Movimientos!B553=$G$4,Movimientos!A553,"")</f>
        <v/>
      </c>
    </row>
    <row r="554" ht="15" customHeight="1" s="59">
      <c r="Z554" s="64">
        <f>IF(Movimientos!B554=$G$4,Movimientos!A554,"")</f>
        <v/>
      </c>
    </row>
    <row r="555" ht="15" customHeight="1" s="59">
      <c r="Z555" s="64">
        <f>IF(Movimientos!B555=$G$4,Movimientos!A555,"")</f>
        <v/>
      </c>
    </row>
    <row r="556" ht="15" customHeight="1" s="59">
      <c r="Z556" s="64">
        <f>IF(Movimientos!B556=$G$4,Movimientos!A556,"")</f>
        <v/>
      </c>
    </row>
    <row r="557" ht="15" customHeight="1" s="59">
      <c r="Z557" s="64">
        <f>IF(Movimientos!B557=$G$4,Movimientos!A557,"")</f>
        <v/>
      </c>
    </row>
    <row r="558" ht="15" customHeight="1" s="59">
      <c r="Z558" s="64">
        <f>IF(Movimientos!B558=$G$4,Movimientos!A558,"")</f>
        <v/>
      </c>
    </row>
    <row r="559" ht="15" customHeight="1" s="59">
      <c r="Z559" s="64">
        <f>IF(Movimientos!B559=$G$4,Movimientos!A559,"")</f>
        <v/>
      </c>
    </row>
    <row r="560" ht="15" customHeight="1" s="59">
      <c r="Z560" s="64">
        <f>IF(Movimientos!B560=$G$4,Movimientos!A560,"")</f>
        <v/>
      </c>
    </row>
    <row r="561" ht="15" customHeight="1" s="59">
      <c r="Z561" s="64">
        <f>IF(Movimientos!B561=$G$4,Movimientos!A561,"")</f>
        <v/>
      </c>
    </row>
    <row r="562" ht="15" customHeight="1" s="59">
      <c r="Z562" s="64">
        <f>IF(Movimientos!B562=$G$4,Movimientos!A562,"")</f>
        <v/>
      </c>
    </row>
    <row r="563" ht="15" customHeight="1" s="59">
      <c r="Z563" s="64">
        <f>IF(Movimientos!B563=$G$4,Movimientos!A563,"")</f>
        <v/>
      </c>
    </row>
    <row r="564" ht="15" customHeight="1" s="59">
      <c r="Z564" s="64">
        <f>IF(Movimientos!B564=$G$4,Movimientos!A564,"")</f>
        <v/>
      </c>
    </row>
    <row r="565" ht="15" customHeight="1" s="59">
      <c r="Z565" s="64">
        <f>IF(Movimientos!B565=$G$4,Movimientos!A565,"")</f>
        <v/>
      </c>
    </row>
    <row r="566" ht="15" customHeight="1" s="59">
      <c r="Z566" s="64">
        <f>IF(Movimientos!B566=$G$4,Movimientos!A566,"")</f>
        <v/>
      </c>
    </row>
    <row r="567" ht="15" customHeight="1" s="59">
      <c r="Z567" s="64">
        <f>IF(Movimientos!B567=$G$4,Movimientos!A567,"")</f>
        <v/>
      </c>
    </row>
    <row r="568" ht="15" customHeight="1" s="59">
      <c r="Z568" s="64">
        <f>IF(Movimientos!B568=$G$4,Movimientos!A568,"")</f>
        <v/>
      </c>
    </row>
    <row r="569" ht="15" customHeight="1" s="59">
      <c r="Z569" s="64">
        <f>IF(Movimientos!B569=$G$4,Movimientos!A569,"")</f>
        <v/>
      </c>
    </row>
    <row r="570" ht="15" customHeight="1" s="59">
      <c r="Z570" s="64">
        <f>IF(Movimientos!B570=$G$4,Movimientos!A570,"")</f>
        <v/>
      </c>
    </row>
    <row r="571" ht="15" customHeight="1" s="59">
      <c r="Z571" s="64">
        <f>IF(Movimientos!B571=$G$4,Movimientos!A571,"")</f>
        <v/>
      </c>
    </row>
    <row r="572" ht="15" customHeight="1" s="59">
      <c r="Z572" s="64">
        <f>IF(Movimientos!B572=$G$4,Movimientos!A572,"")</f>
        <v/>
      </c>
    </row>
    <row r="573" ht="15" customHeight="1" s="59">
      <c r="Z573" s="64">
        <f>IF(Movimientos!B573=$G$4,Movimientos!A573,"")</f>
        <v/>
      </c>
    </row>
    <row r="574" ht="15" customHeight="1" s="59">
      <c r="Z574" s="64">
        <f>IF(Movimientos!B574=$G$4,Movimientos!A574,"")</f>
        <v/>
      </c>
    </row>
    <row r="575" ht="15" customHeight="1" s="59">
      <c r="Z575" s="64">
        <f>IF(Movimientos!B575=$G$4,Movimientos!A575,"")</f>
        <v/>
      </c>
    </row>
    <row r="576" ht="15" customHeight="1" s="59">
      <c r="Z576" s="64">
        <f>IF(Movimientos!B576=$G$4,Movimientos!A576,"")</f>
        <v/>
      </c>
    </row>
    <row r="577" ht="15" customHeight="1" s="59">
      <c r="Z577" s="64">
        <f>IF(Movimientos!B577=$G$4,Movimientos!A577,"")</f>
        <v/>
      </c>
    </row>
    <row r="578" ht="15" customHeight="1" s="59">
      <c r="Z578" s="64">
        <f>IF(Movimientos!B578=$G$4,Movimientos!A578,"")</f>
        <v/>
      </c>
    </row>
    <row r="579" ht="15" customHeight="1" s="59">
      <c r="Z579" s="64">
        <f>IF(Movimientos!B579=$G$4,Movimientos!A579,"")</f>
        <v/>
      </c>
    </row>
    <row r="580" ht="15" customHeight="1" s="59">
      <c r="Z580" s="64">
        <f>IF(Movimientos!B580=$G$4,Movimientos!A580,"")</f>
        <v/>
      </c>
    </row>
    <row r="581" ht="15" customHeight="1" s="59">
      <c r="Z581" s="64">
        <f>IF(Movimientos!B581=$G$4,Movimientos!A581,"")</f>
        <v/>
      </c>
    </row>
    <row r="582" ht="15" customHeight="1" s="59">
      <c r="Z582" s="64">
        <f>IF(Movimientos!B582=$G$4,Movimientos!A582,"")</f>
        <v/>
      </c>
    </row>
    <row r="583" ht="15" customHeight="1" s="59">
      <c r="Z583" s="64">
        <f>IF(Movimientos!B583=$G$4,Movimientos!A583,"")</f>
        <v/>
      </c>
    </row>
    <row r="584" ht="15" customHeight="1" s="59">
      <c r="Z584" s="64">
        <f>IF(Movimientos!B584=$G$4,Movimientos!A584,"")</f>
        <v/>
      </c>
    </row>
    <row r="585" ht="15" customHeight="1" s="59">
      <c r="Z585" s="64">
        <f>IF(Movimientos!B585=$G$4,Movimientos!A585,"")</f>
        <v/>
      </c>
    </row>
    <row r="586" ht="15" customHeight="1" s="59">
      <c r="Z586" s="64">
        <f>IF(Movimientos!B586=$G$4,Movimientos!A586,"")</f>
        <v/>
      </c>
    </row>
    <row r="587" ht="15" customHeight="1" s="59">
      <c r="Z587" s="64">
        <f>IF(Movimientos!B587=$G$4,Movimientos!A587,"")</f>
        <v/>
      </c>
    </row>
    <row r="588" ht="15" customHeight="1" s="59">
      <c r="Z588" s="64">
        <f>IF(Movimientos!B588=$G$4,Movimientos!A588,"")</f>
        <v/>
      </c>
    </row>
    <row r="589" ht="15" customHeight="1" s="59">
      <c r="Z589" s="64">
        <f>IF(Movimientos!B589=$G$4,Movimientos!A589,"")</f>
        <v/>
      </c>
    </row>
    <row r="590" ht="15" customHeight="1" s="59">
      <c r="Z590" s="64">
        <f>IF(Movimientos!B590=$G$4,Movimientos!A590,"")</f>
        <v/>
      </c>
    </row>
    <row r="591" ht="15" customHeight="1" s="59">
      <c r="Z591" s="64">
        <f>IF(Movimientos!B591=$G$4,Movimientos!A591,"")</f>
        <v/>
      </c>
    </row>
    <row r="592" ht="15" customHeight="1" s="59">
      <c r="Z592" s="64">
        <f>IF(Movimientos!B592=$G$4,Movimientos!A592,"")</f>
        <v/>
      </c>
    </row>
    <row r="593" ht="15" customHeight="1" s="59">
      <c r="Z593" s="64">
        <f>IF(Movimientos!B593=$G$4,Movimientos!A593,"")</f>
        <v/>
      </c>
    </row>
    <row r="594" ht="15" customHeight="1" s="59">
      <c r="Z594" s="64">
        <f>IF(Movimientos!B594=$G$4,Movimientos!A594,"")</f>
        <v/>
      </c>
    </row>
  </sheetData>
  <mergeCells count="44">
    <mergeCell ref="B4:F4"/>
    <mergeCell ref="F20:H20"/>
    <mergeCell ref="B9:E9"/>
    <mergeCell ref="F18:H18"/>
    <mergeCell ref="B30:E30"/>
    <mergeCell ref="G27:H27"/>
    <mergeCell ref="F8:H8"/>
    <mergeCell ref="B15:E15"/>
    <mergeCell ref="F17:H17"/>
    <mergeCell ref="G23:H23"/>
    <mergeCell ref="B20:E20"/>
    <mergeCell ref="B24:E24"/>
    <mergeCell ref="B26:E26"/>
    <mergeCell ref="B16:E16"/>
    <mergeCell ref="B25:E25"/>
    <mergeCell ref="G28:H28"/>
    <mergeCell ref="B7:H7"/>
    <mergeCell ref="F9:H9"/>
    <mergeCell ref="C5:F5"/>
    <mergeCell ref="F15:H15"/>
    <mergeCell ref="B22:H22"/>
    <mergeCell ref="B18:E18"/>
    <mergeCell ref="B27:E27"/>
    <mergeCell ref="G24:H24"/>
    <mergeCell ref="G30:H30"/>
    <mergeCell ref="B12:E12"/>
    <mergeCell ref="B2:H2"/>
    <mergeCell ref="B11:E11"/>
    <mergeCell ref="F11:H11"/>
    <mergeCell ref="G26:H26"/>
    <mergeCell ref="G29:H29"/>
    <mergeCell ref="F10:H10"/>
    <mergeCell ref="B14:H14"/>
    <mergeCell ref="F16:H16"/>
    <mergeCell ref="B8:E8"/>
    <mergeCell ref="B17:E17"/>
    <mergeCell ref="F19:H19"/>
    <mergeCell ref="B23:E23"/>
    <mergeCell ref="G25:H25"/>
    <mergeCell ref="B29:E29"/>
    <mergeCell ref="F12:H12"/>
    <mergeCell ref="B19:E19"/>
    <mergeCell ref="B10:E10"/>
    <mergeCell ref="B28:E28"/>
  </mergeCells>
  <dataValidations count="1">
    <dataValidation sqref="G4" showDropDown="0" showInputMessage="0" showErrorMessage="0" allowBlank="0" type="list" errorStyle="stop" operator="between">
      <formula1>rng_Placas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K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64" min="1" max="1"/>
    <col width="12" customWidth="1" style="64" min="2" max="2"/>
    <col width="26" customWidth="1" style="64" min="3" max="3"/>
    <col width="12" customWidth="1" style="64" min="4" max="4"/>
    <col width="15" customWidth="1" style="64" min="5" max="6"/>
    <col width="17" customWidth="1" style="64" min="7" max="7"/>
    <col width="15" customWidth="1" style="64" min="8" max="8"/>
    <col width="11" customWidth="1" style="64" min="9" max="9"/>
    <col width="10" customWidth="1" style="64" min="10" max="10"/>
    <col width="16" customWidth="1" style="64" min="11" max="11"/>
  </cols>
  <sheetData>
    <row r="2" ht="22.05" customHeight="1" s="59">
      <c r="B2" s="91" t="inlineStr">
        <is>
          <t>RESUMEN CONSOLIDADO — VISTA JUAN PABLO</t>
        </is>
      </c>
    </row>
    <row r="3" ht="15" customHeight="1" s="59">
      <c r="B3" s="93" t="inlineStr">
        <is>
          <t>Toda la flota listada con resultado por carro y totales generales de negocio</t>
        </is>
      </c>
    </row>
    <row r="5" ht="36" customHeight="1" s="59">
      <c r="B5" s="73" t="inlineStr">
        <is>
          <t>Placa</t>
        </is>
      </c>
      <c r="C5" s="73" t="inlineStr">
        <is>
          <t>Dueño</t>
        </is>
      </c>
      <c r="D5" s="73" t="inlineStr">
        <is>
          <t>Estado</t>
        </is>
      </c>
      <c r="E5" s="73" t="inlineStr">
        <is>
          <t>Ingresos brutos</t>
        </is>
      </c>
      <c r="F5" s="73" t="inlineStr">
        <is>
          <t>Comisión admin</t>
        </is>
      </c>
      <c r="G5" s="73" t="inlineStr">
        <is>
          <t>Gastos operativos</t>
        </is>
      </c>
      <c r="H5" s="73" t="inlineStr">
        <is>
          <t>Neto dueño</t>
        </is>
      </c>
      <c r="I5" s="73" t="inlineStr">
        <is>
          <t>Margen %</t>
        </is>
      </c>
      <c r="J5" s="73" t="inlineStr">
        <is>
          <t># Movs</t>
        </is>
      </c>
      <c r="K5" s="73" t="inlineStr">
        <is>
          <t>Semáforo</t>
        </is>
      </c>
    </row>
    <row r="6" ht="15" customHeight="1" s="59">
      <c r="B6" s="114">
        <f>Vehículos!A2</f>
        <v/>
      </c>
      <c r="C6" s="115">
        <f>IFERROR(VLOOKUP(Vehículos!A2,Vehículos!A:E,5,FALSE()),"")</f>
        <v/>
      </c>
      <c r="D6" s="116">
        <f>IFERROR(VLOOKUP(Vehículos!A2,Vehículos!A:I,9,FALSE()),"")</f>
        <v/>
      </c>
      <c r="E6" s="117">
        <f>IFERROR(SUMIFS(Movimientos!H2:H594,Movimientos!B2:B594,Vehículos!A2,Movimientos!D2:D594,"Ingreso"),0)</f>
        <v/>
      </c>
      <c r="F6" s="117">
        <f>IFERROR(SUMIFS(Movimientos!H2:H594,Movimientos!B2:B594,Vehículos!A2,Movimientos!E2:E594,"Gasto administrativo"),0)</f>
        <v/>
      </c>
      <c r="G6" s="117">
        <f>IFERROR(SUMIFS(Movimientos!H2:H594,Movimientos!B2:B594,Vehículos!A2,Movimientos!D2:D594,"Gasto")-SUMIFS(Movimientos!H2:H594,Movimientos!B2:B594,Vehículos!A2,Movimientos!E2:E594,"Gasto administrativo"),0)</f>
        <v/>
      </c>
      <c r="H6" s="117">
        <f>E6+F6+G6</f>
        <v/>
      </c>
      <c r="I6" s="118">
        <f>IFERROR(H6/E6,"-")</f>
        <v/>
      </c>
      <c r="J6" s="119">
        <f>COUNTIF(Movimientos!B2:B594,Vehículos!A2)</f>
        <v/>
      </c>
      <c r="K6" s="116">
        <f>IF(COUNTIF(Movimientos!B2:B594,Vehículos!A2)=0,"—",IF(H6&gt;0,"🟢 Rentable",IF(H6&gt;-500000,"🟡 Atención","🔴 Pérdida alta")))</f>
        <v/>
      </c>
    </row>
    <row r="7" ht="15" customHeight="1" s="59">
      <c r="B7" s="114">
        <f>Vehículos!A3</f>
        <v/>
      </c>
      <c r="C7" s="115">
        <f>IFERROR(VLOOKUP(Vehículos!A3,Vehículos!A:E,5,FALSE()),"")</f>
        <v/>
      </c>
      <c r="D7" s="116">
        <f>IFERROR(VLOOKUP(Vehículos!A3,Vehículos!A:I,9,FALSE()),"")</f>
        <v/>
      </c>
      <c r="E7" s="117">
        <f>IFERROR(SUMIFS(Movimientos!H2:H594,Movimientos!B2:B594,Vehículos!A3,Movimientos!D2:D594,"Ingreso"),0)</f>
        <v/>
      </c>
      <c r="F7" s="117">
        <f>IFERROR(SUMIFS(Movimientos!H2:H594,Movimientos!B2:B594,Vehículos!A3,Movimientos!E2:E594,"Gasto administrativo"),0)</f>
        <v/>
      </c>
      <c r="G7" s="117">
        <f>IFERROR(SUMIFS(Movimientos!H2:H594,Movimientos!B2:B594,Vehículos!A3,Movimientos!D2:D594,"Gasto")-SUMIFS(Movimientos!H2:H594,Movimientos!B2:B594,Vehículos!A3,Movimientos!E2:E594,"Gasto administrativo"),0)</f>
        <v/>
      </c>
      <c r="H7" s="117">
        <f>E7+F7+G7</f>
        <v/>
      </c>
      <c r="I7" s="118">
        <f>IFERROR(H7/E7,"-")</f>
        <v/>
      </c>
      <c r="J7" s="119">
        <f>COUNTIF(Movimientos!B2:B594,Vehículos!A3)</f>
        <v/>
      </c>
      <c r="K7" s="116">
        <f>IF(COUNTIF(Movimientos!B2:B594,Vehículos!A3)=0,"—",IF(H7&gt;0,"🟢 Rentable",IF(H7&gt;-500000,"🟡 Atención","🔴 Pérdida alta")))</f>
        <v/>
      </c>
    </row>
    <row r="8" ht="15" customHeight="1" s="59">
      <c r="B8" s="114">
        <f>Vehículos!A4</f>
        <v/>
      </c>
      <c r="C8" s="115">
        <f>IFERROR(VLOOKUP(Vehículos!A4,Vehículos!A:E,5,FALSE()),"")</f>
        <v/>
      </c>
      <c r="D8" s="116">
        <f>IFERROR(VLOOKUP(Vehículos!A4,Vehículos!A:I,9,FALSE()),"")</f>
        <v/>
      </c>
      <c r="E8" s="117">
        <f>IFERROR(SUMIFS(Movimientos!H2:H594,Movimientos!B2:B594,Vehículos!A4,Movimientos!D2:D594,"Ingreso"),0)</f>
        <v/>
      </c>
      <c r="F8" s="117">
        <f>IFERROR(SUMIFS(Movimientos!H2:H594,Movimientos!B2:B594,Vehículos!A4,Movimientos!E2:E594,"Gasto administrativo"),0)</f>
        <v/>
      </c>
      <c r="G8" s="117">
        <f>IFERROR(SUMIFS(Movimientos!H2:H594,Movimientos!B2:B594,Vehículos!A4,Movimientos!D2:D594,"Gasto")-SUMIFS(Movimientos!H2:H594,Movimientos!B2:B594,Vehículos!A4,Movimientos!E2:E594,"Gasto administrativo"),0)</f>
        <v/>
      </c>
      <c r="H8" s="117">
        <f>E8+F8+G8</f>
        <v/>
      </c>
      <c r="I8" s="118">
        <f>IFERROR(H8/E8,"-")</f>
        <v/>
      </c>
      <c r="J8" s="119">
        <f>COUNTIF(Movimientos!B2:B594,Vehículos!A4)</f>
        <v/>
      </c>
      <c r="K8" s="116">
        <f>IF(COUNTIF(Movimientos!B2:B594,Vehículos!A4)=0,"—",IF(H8&gt;0,"🟢 Rentable",IF(H8&gt;-500000,"🟡 Atención","🔴 Pérdida alta")))</f>
        <v/>
      </c>
    </row>
    <row r="9" ht="15" customHeight="1" s="59">
      <c r="B9" s="114">
        <f>Vehículos!A5</f>
        <v/>
      </c>
      <c r="C9" s="115">
        <f>IFERROR(VLOOKUP(Vehículos!A5,Vehículos!A:E,5,FALSE()),"")</f>
        <v/>
      </c>
      <c r="D9" s="116">
        <f>IFERROR(VLOOKUP(Vehículos!A5,Vehículos!A:I,9,FALSE()),"")</f>
        <v/>
      </c>
      <c r="E9" s="117">
        <f>IFERROR(SUMIFS(Movimientos!H2:H594,Movimientos!B2:B594,Vehículos!A5,Movimientos!D2:D594,"Ingreso"),0)</f>
        <v/>
      </c>
      <c r="F9" s="117">
        <f>IFERROR(SUMIFS(Movimientos!H2:H594,Movimientos!B2:B594,Vehículos!A5,Movimientos!E2:E594,"Gasto administrativo"),0)</f>
        <v/>
      </c>
      <c r="G9" s="117">
        <f>IFERROR(SUMIFS(Movimientos!H2:H594,Movimientos!B2:B594,Vehículos!A5,Movimientos!D2:D594,"Gasto")-SUMIFS(Movimientos!H2:H594,Movimientos!B2:B594,Vehículos!A5,Movimientos!E2:E594,"Gasto administrativo"),0)</f>
        <v/>
      </c>
      <c r="H9" s="117">
        <f>E9+F9+G9</f>
        <v/>
      </c>
      <c r="I9" s="118">
        <f>IFERROR(H9/E9,"-")</f>
        <v/>
      </c>
      <c r="J9" s="119">
        <f>COUNTIF(Movimientos!B2:B594,Vehículos!A5)</f>
        <v/>
      </c>
      <c r="K9" s="116">
        <f>IF(COUNTIF(Movimientos!B2:B594,Vehículos!A5)=0,"—",IF(H9&gt;0,"🟢 Rentable",IF(H9&gt;-500000,"🟡 Atención","🔴 Pérdida alta")))</f>
        <v/>
      </c>
    </row>
    <row r="10" ht="15" customHeight="1" s="59">
      <c r="B10" s="114">
        <f>Vehículos!A6</f>
        <v/>
      </c>
      <c r="C10" s="115">
        <f>IFERROR(VLOOKUP(Vehículos!A6,Vehículos!A:E,5,FALSE()),"")</f>
        <v/>
      </c>
      <c r="D10" s="116">
        <f>IFERROR(VLOOKUP(Vehículos!A6,Vehículos!A:I,9,FALSE()),"")</f>
        <v/>
      </c>
      <c r="E10" s="117">
        <f>IFERROR(SUMIFS(Movimientos!H2:H594,Movimientos!B2:B594,Vehículos!A6,Movimientos!D2:D594,"Ingreso"),0)</f>
        <v/>
      </c>
      <c r="F10" s="117">
        <f>IFERROR(SUMIFS(Movimientos!H2:H594,Movimientos!B2:B594,Vehículos!A6,Movimientos!E2:E594,"Gasto administrativo"),0)</f>
        <v/>
      </c>
      <c r="G10" s="117">
        <f>IFERROR(SUMIFS(Movimientos!H2:H594,Movimientos!B2:B594,Vehículos!A6,Movimientos!D2:D594,"Gasto")-SUMIFS(Movimientos!H2:H594,Movimientos!B2:B594,Vehículos!A6,Movimientos!E2:E594,"Gasto administrativo"),0)</f>
        <v/>
      </c>
      <c r="H10" s="117">
        <f>E10+F10+G10</f>
        <v/>
      </c>
      <c r="I10" s="118">
        <f>IFERROR(H10/E10,"-")</f>
        <v/>
      </c>
      <c r="J10" s="119">
        <f>COUNTIF(Movimientos!B2:B594,Vehículos!A6)</f>
        <v/>
      </c>
      <c r="K10" s="116">
        <f>IF(COUNTIF(Movimientos!B2:B594,Vehículos!A6)=0,"—",IF(H10&gt;0,"🟢 Rentable",IF(H10&gt;-500000,"🟡 Atención","🔴 Pérdida alta")))</f>
        <v/>
      </c>
    </row>
    <row r="11" ht="15" customHeight="1" s="59">
      <c r="B11" s="114">
        <f>Vehículos!A7</f>
        <v/>
      </c>
      <c r="C11" s="115">
        <f>IFERROR(VLOOKUP(Vehículos!A7,Vehículos!A:E,5,FALSE()),"")</f>
        <v/>
      </c>
      <c r="D11" s="116">
        <f>IFERROR(VLOOKUP(Vehículos!A7,Vehículos!A:I,9,FALSE()),"")</f>
        <v/>
      </c>
      <c r="E11" s="117">
        <f>IFERROR(SUMIFS(Movimientos!H2:H594,Movimientos!B2:B594,Vehículos!A7,Movimientos!D2:D594,"Ingreso"),0)</f>
        <v/>
      </c>
      <c r="F11" s="117">
        <f>IFERROR(SUMIFS(Movimientos!H2:H594,Movimientos!B2:B594,Vehículos!A7,Movimientos!E2:E594,"Gasto administrativo"),0)</f>
        <v/>
      </c>
      <c r="G11" s="117">
        <f>IFERROR(SUMIFS(Movimientos!H2:H594,Movimientos!B2:B594,Vehículos!A7,Movimientos!D2:D594,"Gasto")-SUMIFS(Movimientos!H2:H594,Movimientos!B2:B594,Vehículos!A7,Movimientos!E2:E594,"Gasto administrativo"),0)</f>
        <v/>
      </c>
      <c r="H11" s="117">
        <f>E11+F11+G11</f>
        <v/>
      </c>
      <c r="I11" s="118">
        <f>IFERROR(H11/E11,"-")</f>
        <v/>
      </c>
      <c r="J11" s="119">
        <f>COUNTIF(Movimientos!B2:B594,Vehículos!A7)</f>
        <v/>
      </c>
      <c r="K11" s="116">
        <f>IF(COUNTIF(Movimientos!B2:B594,Vehículos!A7)=0,"—",IF(H11&gt;0,"🟢 Rentable",IF(H11&gt;-500000,"🟡 Atención","🔴 Pérdida alta")))</f>
        <v/>
      </c>
    </row>
    <row r="12" ht="15" customHeight="1" s="59">
      <c r="B12" s="114">
        <f>Vehículos!A8</f>
        <v/>
      </c>
      <c r="C12" s="115">
        <f>IFERROR(VLOOKUP(Vehículos!A8,Vehículos!A:E,5,FALSE()),"")</f>
        <v/>
      </c>
      <c r="D12" s="116">
        <f>IFERROR(VLOOKUP(Vehículos!A8,Vehículos!A:I,9,FALSE()),"")</f>
        <v/>
      </c>
      <c r="E12" s="117">
        <f>IFERROR(SUMIFS(Movimientos!H2:H594,Movimientos!B2:B594,Vehículos!A8,Movimientos!D2:D594,"Ingreso"),0)</f>
        <v/>
      </c>
      <c r="F12" s="117">
        <f>IFERROR(SUMIFS(Movimientos!H2:H594,Movimientos!B2:B594,Vehículos!A8,Movimientos!E2:E594,"Gasto administrativo"),0)</f>
        <v/>
      </c>
      <c r="G12" s="117">
        <f>IFERROR(SUMIFS(Movimientos!H2:H594,Movimientos!B2:B594,Vehículos!A8,Movimientos!D2:D594,"Gasto")-SUMIFS(Movimientos!H2:H594,Movimientos!B2:B594,Vehículos!A8,Movimientos!E2:E594,"Gasto administrativo"),0)</f>
        <v/>
      </c>
      <c r="H12" s="117">
        <f>E12+F12+G12</f>
        <v/>
      </c>
      <c r="I12" s="118">
        <f>IFERROR(H12/E12,"-")</f>
        <v/>
      </c>
      <c r="J12" s="119">
        <f>COUNTIF(Movimientos!B2:B594,Vehículos!A8)</f>
        <v/>
      </c>
      <c r="K12" s="116">
        <f>IF(COUNTIF(Movimientos!B2:B594,Vehículos!A8)=0,"—",IF(H12&gt;0,"🟢 Rentable",IF(H12&gt;-500000,"🟡 Atención","🔴 Pérdida alta")))</f>
        <v/>
      </c>
    </row>
    <row r="13" ht="15" customHeight="1" s="59">
      <c r="B13" s="114">
        <f>Vehículos!A9</f>
        <v/>
      </c>
      <c r="C13" s="115">
        <f>IFERROR(VLOOKUP(Vehículos!A9,Vehículos!A:E,5,FALSE()),"")</f>
        <v/>
      </c>
      <c r="D13" s="116">
        <f>IFERROR(VLOOKUP(Vehículos!A9,Vehículos!A:I,9,FALSE()),"")</f>
        <v/>
      </c>
      <c r="E13" s="117">
        <f>IFERROR(SUMIFS(Movimientos!H2:H594,Movimientos!B2:B594,Vehículos!A9,Movimientos!D2:D594,"Ingreso"),0)</f>
        <v/>
      </c>
      <c r="F13" s="117">
        <f>IFERROR(SUMIFS(Movimientos!H2:H594,Movimientos!B2:B594,Vehículos!A9,Movimientos!E2:E594,"Gasto administrativo"),0)</f>
        <v/>
      </c>
      <c r="G13" s="117">
        <f>IFERROR(SUMIFS(Movimientos!H2:H594,Movimientos!B2:B594,Vehículos!A9,Movimientos!D2:D594,"Gasto")-SUMIFS(Movimientos!H2:H594,Movimientos!B2:B594,Vehículos!A9,Movimientos!E2:E594,"Gasto administrativo"),0)</f>
        <v/>
      </c>
      <c r="H13" s="117">
        <f>E13+F13+G13</f>
        <v/>
      </c>
      <c r="I13" s="118">
        <f>IFERROR(H13/E13,"-")</f>
        <v/>
      </c>
      <c r="J13" s="119">
        <f>COUNTIF(Movimientos!B2:B594,Vehículos!A9)</f>
        <v/>
      </c>
      <c r="K13" s="116">
        <f>IF(COUNTIF(Movimientos!B2:B594,Vehículos!A9)=0,"—",IF(H13&gt;0,"🟢 Rentable",IF(H13&gt;-500000,"🟡 Atención","🔴 Pérdida alta")))</f>
        <v/>
      </c>
    </row>
    <row r="14" ht="15" customHeight="1" s="59">
      <c r="B14" s="114">
        <f>Vehículos!A10</f>
        <v/>
      </c>
      <c r="C14" s="115">
        <f>IFERROR(VLOOKUP(Vehículos!A10,Vehículos!A:E,5,FALSE()),"")</f>
        <v/>
      </c>
      <c r="D14" s="116">
        <f>IFERROR(VLOOKUP(Vehículos!A10,Vehículos!A:I,9,FALSE()),"")</f>
        <v/>
      </c>
      <c r="E14" s="117">
        <f>IFERROR(SUMIFS(Movimientos!H2:H594,Movimientos!B2:B594,Vehículos!A10,Movimientos!D2:D594,"Ingreso"),0)</f>
        <v/>
      </c>
      <c r="F14" s="117">
        <f>IFERROR(SUMIFS(Movimientos!H2:H594,Movimientos!B2:B594,Vehículos!A10,Movimientos!E2:E594,"Gasto administrativo"),0)</f>
        <v/>
      </c>
      <c r="G14" s="117">
        <f>IFERROR(SUMIFS(Movimientos!H2:H594,Movimientos!B2:B594,Vehículos!A10,Movimientos!D2:D594,"Gasto")-SUMIFS(Movimientos!H2:H594,Movimientos!B2:B594,Vehículos!A10,Movimientos!E2:E594,"Gasto administrativo"),0)</f>
        <v/>
      </c>
      <c r="H14" s="117">
        <f>E14+F14+G14</f>
        <v/>
      </c>
      <c r="I14" s="118">
        <f>IFERROR(H14/E14,"-")</f>
        <v/>
      </c>
      <c r="J14" s="119">
        <f>COUNTIF(Movimientos!B2:B594,Vehículos!A10)</f>
        <v/>
      </c>
      <c r="K14" s="116">
        <f>IF(COUNTIF(Movimientos!B2:B594,Vehículos!A10)=0,"—",IF(H14&gt;0,"🟢 Rentable",IF(H14&gt;-500000,"🟡 Atención","🔴 Pérdida alta")))</f>
        <v/>
      </c>
    </row>
    <row r="15" ht="15" customHeight="1" s="59">
      <c r="B15" s="114">
        <f>Vehículos!A11</f>
        <v/>
      </c>
      <c r="C15" s="115">
        <f>IFERROR(VLOOKUP(Vehículos!A11,Vehículos!A:E,5,FALSE()),"")</f>
        <v/>
      </c>
      <c r="D15" s="116">
        <f>IFERROR(VLOOKUP(Vehículos!A11,Vehículos!A:I,9,FALSE()),"")</f>
        <v/>
      </c>
      <c r="E15" s="117">
        <f>IFERROR(SUMIFS(Movimientos!H2:H594,Movimientos!B2:B594,Vehículos!A11,Movimientos!D2:D594,"Ingreso"),0)</f>
        <v/>
      </c>
      <c r="F15" s="117">
        <f>IFERROR(SUMIFS(Movimientos!H2:H594,Movimientos!B2:B594,Vehículos!A11,Movimientos!E2:E594,"Gasto administrativo"),0)</f>
        <v/>
      </c>
      <c r="G15" s="117">
        <f>IFERROR(SUMIFS(Movimientos!H2:H594,Movimientos!B2:B594,Vehículos!A11,Movimientos!D2:D594,"Gasto")-SUMIFS(Movimientos!H2:H594,Movimientos!B2:B594,Vehículos!A11,Movimientos!E2:E594,"Gasto administrativo"),0)</f>
        <v/>
      </c>
      <c r="H15" s="117">
        <f>E15+F15+G15</f>
        <v/>
      </c>
      <c r="I15" s="118">
        <f>IFERROR(H15/E15,"-")</f>
        <v/>
      </c>
      <c r="J15" s="119">
        <f>COUNTIF(Movimientos!B2:B594,Vehículos!A11)</f>
        <v/>
      </c>
      <c r="K15" s="116">
        <f>IF(COUNTIF(Movimientos!B2:B594,Vehículos!A11)=0,"—",IF(H15&gt;0,"🟢 Rentable",IF(H15&gt;-500000,"🟡 Atención","🔴 Pérdida alta")))</f>
        <v/>
      </c>
    </row>
    <row r="16" ht="15" customHeight="1" s="59">
      <c r="B16" s="114">
        <f>Vehículos!A12</f>
        <v/>
      </c>
      <c r="C16" s="115">
        <f>IFERROR(VLOOKUP(Vehículos!A12,Vehículos!A:E,5,FALSE()),"")</f>
        <v/>
      </c>
      <c r="D16" s="116">
        <f>IFERROR(VLOOKUP(Vehículos!A12,Vehículos!A:I,9,FALSE()),"")</f>
        <v/>
      </c>
      <c r="E16" s="117">
        <f>IFERROR(SUMIFS(Movimientos!H2:H594,Movimientos!B2:B594,Vehículos!A12,Movimientos!D2:D594,"Ingreso"),0)</f>
        <v/>
      </c>
      <c r="F16" s="117">
        <f>IFERROR(SUMIFS(Movimientos!H2:H594,Movimientos!B2:B594,Vehículos!A12,Movimientos!E2:E594,"Gasto administrativo"),0)</f>
        <v/>
      </c>
      <c r="G16" s="117">
        <f>IFERROR(SUMIFS(Movimientos!H2:H594,Movimientos!B2:B594,Vehículos!A12,Movimientos!D2:D594,"Gasto")-SUMIFS(Movimientos!H2:H594,Movimientos!B2:B594,Vehículos!A12,Movimientos!E2:E594,"Gasto administrativo"),0)</f>
        <v/>
      </c>
      <c r="H16" s="117">
        <f>E16+F16+G16</f>
        <v/>
      </c>
      <c r="I16" s="118">
        <f>IFERROR(H16/E16,"-")</f>
        <v/>
      </c>
      <c r="J16" s="119">
        <f>COUNTIF(Movimientos!B2:B594,Vehículos!A12)</f>
        <v/>
      </c>
      <c r="K16" s="116">
        <f>IF(COUNTIF(Movimientos!B2:B594,Vehículos!A12)=0,"—",IF(H16&gt;0,"🟢 Rentable",IF(H16&gt;-500000,"🟡 Atención","🔴 Pérdida alta")))</f>
        <v/>
      </c>
    </row>
    <row r="17" ht="15" customHeight="1" s="59">
      <c r="B17" s="114">
        <f>Vehículos!A13</f>
        <v/>
      </c>
      <c r="C17" s="115">
        <f>IFERROR(VLOOKUP(Vehículos!A13,Vehículos!A:E,5,FALSE()),"")</f>
        <v/>
      </c>
      <c r="D17" s="116">
        <f>IFERROR(VLOOKUP(Vehículos!A13,Vehículos!A:I,9,FALSE()),"")</f>
        <v/>
      </c>
      <c r="E17" s="117">
        <f>IFERROR(SUMIFS(Movimientos!H2:H594,Movimientos!B2:B594,Vehículos!A13,Movimientos!D2:D594,"Ingreso"),0)</f>
        <v/>
      </c>
      <c r="F17" s="117">
        <f>IFERROR(SUMIFS(Movimientos!H2:H594,Movimientos!B2:B594,Vehículos!A13,Movimientos!E2:E594,"Gasto administrativo"),0)</f>
        <v/>
      </c>
      <c r="G17" s="117">
        <f>IFERROR(SUMIFS(Movimientos!H2:H594,Movimientos!B2:B594,Vehículos!A13,Movimientos!D2:D594,"Gasto")-SUMIFS(Movimientos!H2:H594,Movimientos!B2:B594,Vehículos!A13,Movimientos!E2:E594,"Gasto administrativo"),0)</f>
        <v/>
      </c>
      <c r="H17" s="117">
        <f>E17+F17+G17</f>
        <v/>
      </c>
      <c r="I17" s="118">
        <f>IFERROR(H17/E17,"-")</f>
        <v/>
      </c>
      <c r="J17" s="119">
        <f>COUNTIF(Movimientos!B2:B594,Vehículos!A13)</f>
        <v/>
      </c>
      <c r="K17" s="116">
        <f>IF(COUNTIF(Movimientos!B2:B594,Vehículos!A13)=0,"—",IF(H17&gt;0,"🟢 Rentable",IF(H17&gt;-500000,"🟡 Atención","🔴 Pérdida alta")))</f>
        <v/>
      </c>
    </row>
    <row r="18" ht="15" customHeight="1" s="59">
      <c r="B18" s="114">
        <f>Vehículos!A14</f>
        <v/>
      </c>
      <c r="C18" s="115">
        <f>IFERROR(VLOOKUP(Vehículos!A14,Vehículos!A:E,5,FALSE()),"")</f>
        <v/>
      </c>
      <c r="D18" s="116">
        <f>IFERROR(VLOOKUP(Vehículos!A14,Vehículos!A:I,9,FALSE()),"")</f>
        <v/>
      </c>
      <c r="E18" s="117">
        <f>IFERROR(SUMIFS(Movimientos!H2:H594,Movimientos!B2:B594,Vehículos!A14,Movimientos!D2:D594,"Ingreso"),0)</f>
        <v/>
      </c>
      <c r="F18" s="117">
        <f>IFERROR(SUMIFS(Movimientos!H2:H594,Movimientos!B2:B594,Vehículos!A14,Movimientos!E2:E594,"Gasto administrativo"),0)</f>
        <v/>
      </c>
      <c r="G18" s="117">
        <f>IFERROR(SUMIFS(Movimientos!H2:H594,Movimientos!B2:B594,Vehículos!A14,Movimientos!D2:D594,"Gasto")-SUMIFS(Movimientos!H2:H594,Movimientos!B2:B594,Vehículos!A14,Movimientos!E2:E594,"Gasto administrativo"),0)</f>
        <v/>
      </c>
      <c r="H18" s="117">
        <f>E18+F18+G18</f>
        <v/>
      </c>
      <c r="I18" s="118">
        <f>IFERROR(H18/E18,"-")</f>
        <v/>
      </c>
      <c r="J18" s="119">
        <f>COUNTIF(Movimientos!B2:B594,Vehículos!A14)</f>
        <v/>
      </c>
      <c r="K18" s="116">
        <f>IF(COUNTIF(Movimientos!B2:B594,Vehículos!A14)=0,"—",IF(H18&gt;0,"🟢 Rentable",IF(H18&gt;-500000,"🟡 Atención","🔴 Pérdida alta")))</f>
        <v/>
      </c>
    </row>
    <row r="19" ht="15" customHeight="1" s="59">
      <c r="B19" s="114">
        <f>Vehículos!A15</f>
        <v/>
      </c>
      <c r="C19" s="115">
        <f>IFERROR(VLOOKUP(Vehículos!A15,Vehículos!A:E,5,FALSE()),"")</f>
        <v/>
      </c>
      <c r="D19" s="116">
        <f>IFERROR(VLOOKUP(Vehículos!A15,Vehículos!A:I,9,FALSE()),"")</f>
        <v/>
      </c>
      <c r="E19" s="117">
        <f>IFERROR(SUMIFS(Movimientos!H2:H594,Movimientos!B2:B594,Vehículos!A15,Movimientos!D2:D594,"Ingreso"),0)</f>
        <v/>
      </c>
      <c r="F19" s="117">
        <f>IFERROR(SUMIFS(Movimientos!H2:H594,Movimientos!B2:B594,Vehículos!A15,Movimientos!E2:E594,"Gasto administrativo"),0)</f>
        <v/>
      </c>
      <c r="G19" s="117">
        <f>IFERROR(SUMIFS(Movimientos!H2:H594,Movimientos!B2:B594,Vehículos!A15,Movimientos!D2:D594,"Gasto")-SUMIFS(Movimientos!H2:H594,Movimientos!B2:B594,Vehículos!A15,Movimientos!E2:E594,"Gasto administrativo"),0)</f>
        <v/>
      </c>
      <c r="H19" s="117">
        <f>E19+F19+G19</f>
        <v/>
      </c>
      <c r="I19" s="118">
        <f>IFERROR(H19/E19,"-")</f>
        <v/>
      </c>
      <c r="J19" s="119">
        <f>COUNTIF(Movimientos!B2:B594,Vehículos!A15)</f>
        <v/>
      </c>
      <c r="K19" s="116">
        <f>IF(COUNTIF(Movimientos!B2:B594,Vehículos!A15)=0,"—",IF(H19&gt;0,"🟢 Rentable",IF(H19&gt;-500000,"🟡 Atención","🔴 Pérdida alta")))</f>
        <v/>
      </c>
    </row>
    <row r="20" ht="15" customHeight="1" s="59">
      <c r="B20" s="114">
        <f>Vehículos!A16</f>
        <v/>
      </c>
      <c r="C20" s="115">
        <f>IFERROR(VLOOKUP(Vehículos!A16,Vehículos!A:E,5,FALSE()),"")</f>
        <v/>
      </c>
      <c r="D20" s="116">
        <f>IFERROR(VLOOKUP(Vehículos!A16,Vehículos!A:I,9,FALSE()),"")</f>
        <v/>
      </c>
      <c r="E20" s="117">
        <f>IFERROR(SUMIFS(Movimientos!H2:H594,Movimientos!B2:B594,Vehículos!A16,Movimientos!D2:D594,"Ingreso"),0)</f>
        <v/>
      </c>
      <c r="F20" s="117">
        <f>IFERROR(SUMIFS(Movimientos!H2:H594,Movimientos!B2:B594,Vehículos!A16,Movimientos!E2:E594,"Gasto administrativo"),0)</f>
        <v/>
      </c>
      <c r="G20" s="117">
        <f>IFERROR(SUMIFS(Movimientos!H2:H594,Movimientos!B2:B594,Vehículos!A16,Movimientos!D2:D594,"Gasto")-SUMIFS(Movimientos!H2:H594,Movimientos!B2:B594,Vehículos!A16,Movimientos!E2:E594,"Gasto administrativo"),0)</f>
        <v/>
      </c>
      <c r="H20" s="117">
        <f>E20+F20+G20</f>
        <v/>
      </c>
      <c r="I20" s="118">
        <f>IFERROR(H20/E20,"-")</f>
        <v/>
      </c>
      <c r="J20" s="119">
        <f>COUNTIF(Movimientos!B2:B594,Vehículos!A16)</f>
        <v/>
      </c>
      <c r="K20" s="116">
        <f>IF(COUNTIF(Movimientos!B2:B594,Vehículos!A16)=0,"—",IF(H20&gt;0,"🟢 Rentable",IF(H20&gt;-500000,"🟡 Atención","🔴 Pérdida alta")))</f>
        <v/>
      </c>
    </row>
    <row r="21" ht="15" customHeight="1" s="59">
      <c r="B21" s="114">
        <f>Vehículos!A17</f>
        <v/>
      </c>
      <c r="C21" s="115">
        <f>IFERROR(VLOOKUP(Vehículos!A17,Vehículos!A:E,5,FALSE()),"")</f>
        <v/>
      </c>
      <c r="D21" s="116">
        <f>IFERROR(VLOOKUP(Vehículos!A17,Vehículos!A:I,9,FALSE()),"")</f>
        <v/>
      </c>
      <c r="E21" s="117">
        <f>IFERROR(SUMIFS(Movimientos!H2:H594,Movimientos!B2:B594,Vehículos!A17,Movimientos!D2:D594,"Ingreso"),0)</f>
        <v/>
      </c>
      <c r="F21" s="117">
        <f>IFERROR(SUMIFS(Movimientos!H2:H594,Movimientos!B2:B594,Vehículos!A17,Movimientos!E2:E594,"Gasto administrativo"),0)</f>
        <v/>
      </c>
      <c r="G21" s="117">
        <f>IFERROR(SUMIFS(Movimientos!H2:H594,Movimientos!B2:B594,Vehículos!A17,Movimientos!D2:D594,"Gasto")-SUMIFS(Movimientos!H2:H594,Movimientos!B2:B594,Vehículos!A17,Movimientos!E2:E594,"Gasto administrativo"),0)</f>
        <v/>
      </c>
      <c r="H21" s="117">
        <f>E21+F21+G21</f>
        <v/>
      </c>
      <c r="I21" s="118">
        <f>IFERROR(H21/E21,"-")</f>
        <v/>
      </c>
      <c r="J21" s="119">
        <f>COUNTIF(Movimientos!B2:B594,Vehículos!A17)</f>
        <v/>
      </c>
      <c r="K21" s="116">
        <f>IF(COUNTIF(Movimientos!B2:B594,Vehículos!A17)=0,"—",IF(H21&gt;0,"🟢 Rentable",IF(H21&gt;-500000,"🟡 Atención","🔴 Pérdida alta")))</f>
        <v/>
      </c>
    </row>
    <row r="22" ht="15" customHeight="1" s="59">
      <c r="B22" s="114">
        <f>Vehículos!A18</f>
        <v/>
      </c>
      <c r="C22" s="115">
        <f>IFERROR(VLOOKUP(Vehículos!A18,Vehículos!A:E,5,FALSE()),"")</f>
        <v/>
      </c>
      <c r="D22" s="116">
        <f>IFERROR(VLOOKUP(Vehículos!A18,Vehículos!A:I,9,FALSE()),"")</f>
        <v/>
      </c>
      <c r="E22" s="117">
        <f>IFERROR(SUMIFS(Movimientos!H2:H594,Movimientos!B2:B594,Vehículos!A18,Movimientos!D2:D594,"Ingreso"),0)</f>
        <v/>
      </c>
      <c r="F22" s="117">
        <f>IFERROR(SUMIFS(Movimientos!H2:H594,Movimientos!B2:B594,Vehículos!A18,Movimientos!E2:E594,"Gasto administrativo"),0)</f>
        <v/>
      </c>
      <c r="G22" s="117">
        <f>IFERROR(SUMIFS(Movimientos!H2:H594,Movimientos!B2:B594,Vehículos!A18,Movimientos!D2:D594,"Gasto")-SUMIFS(Movimientos!H2:H594,Movimientos!B2:B594,Vehículos!A18,Movimientos!E2:E594,"Gasto administrativo"),0)</f>
        <v/>
      </c>
      <c r="H22" s="117">
        <f>E22+F22+G22</f>
        <v/>
      </c>
      <c r="I22" s="118">
        <f>IFERROR(H22/E22,"-")</f>
        <v/>
      </c>
      <c r="J22" s="119">
        <f>COUNTIF(Movimientos!B2:B594,Vehículos!A18)</f>
        <v/>
      </c>
      <c r="K22" s="116">
        <f>IF(COUNTIF(Movimientos!B2:B594,Vehículos!A18)=0,"—",IF(H22&gt;0,"🟢 Rentable",IF(H22&gt;-500000,"🟡 Atención","🔴 Pérdida alta")))</f>
        <v/>
      </c>
    </row>
    <row r="23" ht="15" customHeight="1" s="59">
      <c r="B23" s="114">
        <f>Vehículos!A19</f>
        <v/>
      </c>
      <c r="C23" s="115">
        <f>IFERROR(VLOOKUP(Vehículos!A19,Vehículos!A:E,5,FALSE()),"")</f>
        <v/>
      </c>
      <c r="D23" s="116">
        <f>IFERROR(VLOOKUP(Vehículos!A19,Vehículos!A:I,9,FALSE()),"")</f>
        <v/>
      </c>
      <c r="E23" s="117">
        <f>IFERROR(SUMIFS(Movimientos!H2:H594,Movimientos!B2:B594,Vehículos!A19,Movimientos!D2:D594,"Ingreso"),0)</f>
        <v/>
      </c>
      <c r="F23" s="117">
        <f>IFERROR(SUMIFS(Movimientos!H2:H594,Movimientos!B2:B594,Vehículos!A19,Movimientos!E2:E594,"Gasto administrativo"),0)</f>
        <v/>
      </c>
      <c r="G23" s="117">
        <f>IFERROR(SUMIFS(Movimientos!H2:H594,Movimientos!B2:B594,Vehículos!A19,Movimientos!D2:D594,"Gasto")-SUMIFS(Movimientos!H2:H594,Movimientos!B2:B594,Vehículos!A19,Movimientos!E2:E594,"Gasto administrativo"),0)</f>
        <v/>
      </c>
      <c r="H23" s="117">
        <f>E23+F23+G23</f>
        <v/>
      </c>
      <c r="I23" s="118">
        <f>IFERROR(H23/E23,"-")</f>
        <v/>
      </c>
      <c r="J23" s="119">
        <f>COUNTIF(Movimientos!B2:B594,Vehículos!A19)</f>
        <v/>
      </c>
      <c r="K23" s="116">
        <f>IF(COUNTIF(Movimientos!B2:B594,Vehículos!A19)=0,"—",IF(H23&gt;0,"🟢 Rentable",IF(H23&gt;-500000,"🟡 Atención","🔴 Pérdida alta")))</f>
        <v/>
      </c>
    </row>
    <row r="24" ht="15" customHeight="1" s="59">
      <c r="B24" s="114">
        <f>Vehículos!A20</f>
        <v/>
      </c>
      <c r="C24" s="115">
        <f>IFERROR(VLOOKUP(Vehículos!A20,Vehículos!A:E,5,FALSE()),"")</f>
        <v/>
      </c>
      <c r="D24" s="116">
        <f>IFERROR(VLOOKUP(Vehículos!A20,Vehículos!A:I,9,FALSE()),"")</f>
        <v/>
      </c>
      <c r="E24" s="117">
        <f>IFERROR(SUMIFS(Movimientos!H2:H594,Movimientos!B2:B594,Vehículos!A20,Movimientos!D2:D594,"Ingreso"),0)</f>
        <v/>
      </c>
      <c r="F24" s="117">
        <f>IFERROR(SUMIFS(Movimientos!H2:H594,Movimientos!B2:B594,Vehículos!A20,Movimientos!E2:E594,"Gasto administrativo"),0)</f>
        <v/>
      </c>
      <c r="G24" s="117">
        <f>IFERROR(SUMIFS(Movimientos!H2:H594,Movimientos!B2:B594,Vehículos!A20,Movimientos!D2:D594,"Gasto")-SUMIFS(Movimientos!H2:H594,Movimientos!B2:B594,Vehículos!A20,Movimientos!E2:E594,"Gasto administrativo"),0)</f>
        <v/>
      </c>
      <c r="H24" s="117">
        <f>E24+F24+G24</f>
        <v/>
      </c>
      <c r="I24" s="118">
        <f>IFERROR(H24/E24,"-")</f>
        <v/>
      </c>
      <c r="J24" s="119">
        <f>COUNTIF(Movimientos!B2:B594,Vehículos!A20)</f>
        <v/>
      </c>
      <c r="K24" s="116">
        <f>IF(COUNTIF(Movimientos!B2:B594,Vehículos!A20)=0,"—",IF(H24&gt;0,"🟢 Rentable",IF(H24&gt;-500000,"🟡 Atención","🔴 Pérdida alta")))</f>
        <v/>
      </c>
    </row>
    <row r="25" ht="15" customHeight="1" s="59">
      <c r="B25" s="114">
        <f>Vehículos!A21</f>
        <v/>
      </c>
      <c r="C25" s="115">
        <f>IFERROR(VLOOKUP(Vehículos!A21,Vehículos!A:E,5,FALSE()),"")</f>
        <v/>
      </c>
      <c r="D25" s="116">
        <f>IFERROR(VLOOKUP(Vehículos!A21,Vehículos!A:I,9,FALSE()),"")</f>
        <v/>
      </c>
      <c r="E25" s="117">
        <f>IFERROR(SUMIFS(Movimientos!H2:H594,Movimientos!B2:B594,Vehículos!A21,Movimientos!D2:D594,"Ingreso"),0)</f>
        <v/>
      </c>
      <c r="F25" s="117">
        <f>IFERROR(SUMIFS(Movimientos!H2:H594,Movimientos!B2:B594,Vehículos!A21,Movimientos!E2:E594,"Gasto administrativo"),0)</f>
        <v/>
      </c>
      <c r="G25" s="117">
        <f>IFERROR(SUMIFS(Movimientos!H2:H594,Movimientos!B2:B594,Vehículos!A21,Movimientos!D2:D594,"Gasto")-SUMIFS(Movimientos!H2:H594,Movimientos!B2:B594,Vehículos!A21,Movimientos!E2:E594,"Gasto administrativo"),0)</f>
        <v/>
      </c>
      <c r="H25" s="117">
        <f>E25+F25+G25</f>
        <v/>
      </c>
      <c r="I25" s="118">
        <f>IFERROR(H25/E25,"-")</f>
        <v/>
      </c>
      <c r="J25" s="119">
        <f>COUNTIF(Movimientos!B2:B594,Vehículos!A21)</f>
        <v/>
      </c>
      <c r="K25" s="116">
        <f>IF(COUNTIF(Movimientos!B2:B594,Vehículos!A21)=0,"—",IF(H25&gt;0,"🟢 Rentable",IF(H25&gt;-500000,"🟡 Atención","🔴 Pérdida alta")))</f>
        <v/>
      </c>
    </row>
    <row r="26" ht="27.75" customHeight="1" s="59">
      <c r="B26" s="120" t="inlineStr">
        <is>
          <t>TOTAL FLOTA</t>
        </is>
      </c>
      <c r="E26" s="121">
        <f>SUM(E6:E25)</f>
        <v/>
      </c>
      <c r="F26" s="121">
        <f>SUM(F6:F25)</f>
        <v/>
      </c>
      <c r="G26" s="121">
        <f>SUM(G6:G25)</f>
        <v/>
      </c>
      <c r="H26" s="121">
        <f>SUM(H6:H25)</f>
        <v/>
      </c>
      <c r="I26" s="122">
        <f>IFERROR(H26/E26,"-")</f>
        <v/>
      </c>
      <c r="J26" s="123">
        <f>SUM(J6:J25)</f>
        <v/>
      </c>
      <c r="K26" s="124" t="n"/>
    </row>
  </sheetData>
  <mergeCells count="3">
    <mergeCell ref="B26:D26"/>
    <mergeCell ref="B3:K3"/>
    <mergeCell ref="B2:K2"/>
  </mergeCells>
  <conditionalFormatting sqref="H6:H25">
    <cfRule type="cellIs" rank="0" priority="2" equalAverage="0" operator="greaterThan" aboveAverage="0" dxfId="7" text="" percent="0" bottom="0">
      <formula>0</formula>
    </cfRule>
    <cfRule type="cellIs" rank="0" priority="3" equalAverage="0" operator="lessThan" aboveAverage="0" dxfId="6" text="" percent="0" bottom="0">
      <formula>-500000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2026-04-18T21:07:12Z</dcterms:created>
  <dcterms:modified xsi:type="dcterms:W3CDTF">2026-04-19T18:17:10Z</dcterms:modified>
  <cp:revision>0</cp:revision>
</cp:coreProperties>
</file>